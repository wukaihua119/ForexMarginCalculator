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esktop\Forex_Excel\"/>
    </mc:Choice>
  </mc:AlternateContent>
  <bookViews>
    <workbookView xWindow="0" yWindow="0" windowWidth="9350" windowHeight="6540" tabRatio="859" activeTab="2"/>
  </bookViews>
  <sheets>
    <sheet name="說明" sheetId="10" r:id="rId1"/>
    <sheet name="操作流程圖" sheetId="4" r:id="rId2"/>
    <sheet name="試算 " sheetId="30" r:id="rId3"/>
    <sheet name="避險計算 " sheetId="29" r:id="rId4"/>
    <sheet name="經濟日曆 " sheetId="22" r:id="rId5"/>
    <sheet name="Bloomberg經濟日曆" sheetId="15" r:id="rId6"/>
    <sheet name="數據資料(不能刪)" sheetId="8" r:id="rId7"/>
    <sheet name="備份數據(不能刪)" sheetId="12" r:id="rId8"/>
  </sheets>
  <externalReferences>
    <externalReference r:id="rId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5" i="30" l="1"/>
  <c r="K10" i="30"/>
  <c r="K11" i="30" s="1"/>
  <c r="X8" i="30"/>
  <c r="K6" i="30"/>
  <c r="F2" i="30"/>
  <c r="E2" i="30"/>
  <c r="D2" i="30"/>
  <c r="K24" i="30" a="1"/>
  <c r="K24" i="30" l="1"/>
  <c r="K26" i="30" s="1"/>
  <c r="E26" i="29"/>
  <c r="D26" i="29"/>
  <c r="E23" i="29"/>
  <c r="D23" i="29"/>
  <c r="E21" i="29"/>
  <c r="D21" i="29"/>
  <c r="E19" i="29"/>
  <c r="D19" i="29"/>
  <c r="E18" i="29"/>
  <c r="D18" i="29"/>
  <c r="E16" i="29"/>
  <c r="D16" i="29"/>
  <c r="E14" i="29"/>
  <c r="D14" i="29"/>
  <c r="E13" i="29"/>
  <c r="D13" i="29"/>
  <c r="E12" i="29"/>
  <c r="D12" i="29"/>
  <c r="E11" i="29"/>
  <c r="D11" i="29"/>
  <c r="E10" i="29"/>
  <c r="D10" i="29"/>
  <c r="E9" i="29"/>
  <c r="D9" i="29"/>
  <c r="E8" i="29"/>
  <c r="D8" i="29"/>
  <c r="E7" i="29"/>
  <c r="D7" i="29"/>
  <c r="E6" i="29"/>
  <c r="D6" i="29"/>
  <c r="N13" i="29"/>
  <c r="N12" i="29"/>
  <c r="N11" i="29"/>
  <c r="N10" i="29"/>
  <c r="N9" i="29"/>
  <c r="N8" i="29"/>
  <c r="N7" i="29"/>
  <c r="N6" i="29"/>
  <c r="N5" i="29"/>
  <c r="N4" i="29"/>
  <c r="F2" i="29"/>
  <c r="E2" i="29"/>
  <c r="D2" i="29"/>
  <c r="L16" i="8" l="1"/>
  <c r="M16" i="8"/>
  <c r="M15" i="8"/>
  <c r="L15" i="8"/>
  <c r="M14" i="8"/>
  <c r="L14" i="8"/>
  <c r="M13" i="8"/>
  <c r="L13" i="8"/>
  <c r="M12" i="8"/>
  <c r="L12" i="8"/>
  <c r="M11" i="8"/>
  <c r="L11" i="8"/>
  <c r="M9" i="8"/>
  <c r="M10" i="8"/>
  <c r="L9" i="8"/>
  <c r="L10" i="8"/>
  <c r="M8" i="8"/>
  <c r="L8" i="8"/>
  <c r="M4" i="8"/>
  <c r="M5" i="8"/>
  <c r="M6" i="8"/>
  <c r="M7" i="8"/>
  <c r="L5" i="8"/>
  <c r="L6" i="8"/>
  <c r="L7" i="8"/>
  <c r="L4" i="8"/>
  <c r="K27" i="12" l="1"/>
  <c r="J27" i="12"/>
  <c r="K24" i="12"/>
  <c r="J24" i="12"/>
  <c r="K22" i="12"/>
  <c r="J22" i="12"/>
  <c r="K20" i="12"/>
  <c r="J20" i="12"/>
  <c r="K19" i="12"/>
  <c r="J19" i="12"/>
  <c r="K17" i="12"/>
  <c r="J17" i="12"/>
  <c r="K15" i="12"/>
  <c r="J15" i="12"/>
  <c r="K14" i="12"/>
  <c r="J14" i="12"/>
  <c r="K13" i="12"/>
  <c r="J13" i="12"/>
  <c r="K12" i="12"/>
  <c r="J12" i="12"/>
  <c r="K11" i="12"/>
  <c r="J11" i="12"/>
  <c r="K10" i="12"/>
  <c r="J10" i="12"/>
  <c r="K9" i="12"/>
  <c r="J9" i="12"/>
  <c r="K8" i="12"/>
  <c r="J8" i="12"/>
  <c r="K7" i="12"/>
  <c r="J7" i="12"/>
  <c r="L3" i="12"/>
  <c r="K3" i="12"/>
  <c r="J3" i="12"/>
  <c r="I82" i="15"/>
  <c r="I17" i="15"/>
  <c r="H98" i="15"/>
  <c r="I99" i="15"/>
  <c r="H28" i="15"/>
  <c r="I12" i="15"/>
  <c r="I79" i="15"/>
  <c r="H94" i="15"/>
  <c r="I95" i="15"/>
  <c r="I102" i="15"/>
  <c r="H45" i="15"/>
  <c r="I55" i="15"/>
  <c r="H90" i="15"/>
  <c r="H76" i="15"/>
  <c r="I6" i="15"/>
  <c r="H43" i="15"/>
  <c r="I81" i="15"/>
  <c r="H68" i="15"/>
  <c r="I68" i="15"/>
  <c r="I30" i="15"/>
  <c r="H35" i="15"/>
  <c r="H58" i="15"/>
  <c r="I93" i="15"/>
  <c r="I50" i="15"/>
  <c r="I61" i="15"/>
  <c r="I56" i="15"/>
  <c r="H49" i="15"/>
  <c r="H34" i="15"/>
  <c r="I96" i="15"/>
  <c r="H16" i="15"/>
  <c r="H39" i="15"/>
  <c r="H99" i="15"/>
  <c r="I29" i="15"/>
  <c r="H22" i="15"/>
  <c r="I89" i="15"/>
  <c r="H13" i="15"/>
  <c r="H20" i="15"/>
  <c r="I16" i="15"/>
  <c r="H77" i="15"/>
  <c r="I14" i="15"/>
  <c r="I9" i="15"/>
  <c r="I38" i="15"/>
  <c r="I19" i="15"/>
  <c r="I8" i="15"/>
  <c r="I86" i="15"/>
  <c r="H67" i="15"/>
  <c r="E57" i="15"/>
  <c r="B94" i="15"/>
  <c r="H53" i="15"/>
  <c r="I94" i="15"/>
  <c r="H23" i="15"/>
  <c r="I49" i="15"/>
  <c r="I27" i="15"/>
  <c r="I33" i="15"/>
  <c r="I24" i="15"/>
  <c r="H100" i="15"/>
  <c r="H54" i="15"/>
  <c r="I25" i="15"/>
  <c r="H29" i="15"/>
  <c r="I36" i="15"/>
  <c r="H57" i="15"/>
  <c r="I5" i="15"/>
  <c r="H95" i="15"/>
  <c r="H41" i="15"/>
  <c r="I101" i="15"/>
  <c r="H46" i="15"/>
  <c r="I62" i="15"/>
  <c r="H31" i="15"/>
  <c r="I32" i="15"/>
  <c r="B57" i="15"/>
  <c r="B52" i="15"/>
  <c r="I77" i="15"/>
  <c r="I85" i="15"/>
  <c r="H10" i="15"/>
  <c r="H81" i="15"/>
  <c r="I54" i="15"/>
  <c r="E52" i="15"/>
  <c r="H72" i="15"/>
  <c r="I64" i="15"/>
  <c r="I22" i="15"/>
  <c r="H83" i="15"/>
  <c r="H7" i="15"/>
  <c r="I58" i="15"/>
  <c r="H101" i="15"/>
  <c r="I23" i="15"/>
  <c r="I83" i="15"/>
  <c r="I11" i="15"/>
  <c r="H30" i="15"/>
  <c r="H38" i="15"/>
  <c r="I73" i="15"/>
  <c r="H44" i="15"/>
  <c r="I100" i="15"/>
  <c r="H66" i="15"/>
  <c r="H47" i="15"/>
  <c r="I41" i="15"/>
  <c r="I87" i="15"/>
  <c r="I70" i="15"/>
  <c r="I74" i="15"/>
  <c r="B58" i="15"/>
  <c r="I44" i="15"/>
  <c r="I45" i="15"/>
  <c r="H12" i="15"/>
  <c r="I13" i="15"/>
  <c r="I31" i="15"/>
  <c r="I72" i="15"/>
  <c r="H61" i="15"/>
  <c r="H55" i="15"/>
  <c r="I53" i="15"/>
  <c r="H92" i="15"/>
  <c r="H85" i="15"/>
  <c r="H21" i="15"/>
  <c r="H27" i="15"/>
  <c r="H84" i="15"/>
  <c r="I46" i="15"/>
  <c r="H8" i="15"/>
  <c r="H37" i="15"/>
  <c r="H59" i="15"/>
  <c r="H56" i="15"/>
  <c r="H86" i="15"/>
  <c r="H97" i="15"/>
  <c r="I48" i="15"/>
  <c r="H70" i="15"/>
  <c r="H73" i="15"/>
  <c r="H52" i="15"/>
  <c r="I76" i="15"/>
  <c r="H25" i="15"/>
  <c r="I28" i="15"/>
  <c r="I98" i="15"/>
  <c r="I42" i="15"/>
  <c r="I20" i="15"/>
  <c r="I59" i="15"/>
  <c r="I7" i="15"/>
  <c r="H63" i="15"/>
  <c r="H51" i="15"/>
  <c r="H14" i="15"/>
  <c r="H5" i="15"/>
  <c r="H32" i="15"/>
  <c r="I10" i="15"/>
  <c r="I63" i="15"/>
  <c r="E94" i="15"/>
  <c r="H87" i="15"/>
  <c r="H50" i="15"/>
  <c r="I40" i="15"/>
  <c r="H65" i="15"/>
  <c r="I52" i="15"/>
  <c r="B36" i="15"/>
  <c r="I26" i="15"/>
  <c r="H40" i="15"/>
  <c r="H9" i="15"/>
  <c r="H6" i="15"/>
  <c r="H71" i="15"/>
  <c r="H74" i="15"/>
  <c r="I88" i="15"/>
  <c r="E36" i="15"/>
  <c r="E58" i="15"/>
  <c r="H33" i="15"/>
  <c r="I97" i="15"/>
  <c r="H88" i="15"/>
  <c r="I69" i="15"/>
  <c r="I90" i="15"/>
  <c r="I92" i="15"/>
  <c r="I57" i="15"/>
  <c r="I34" i="15"/>
  <c r="H96" i="15"/>
  <c r="H15" i="15"/>
  <c r="I78" i="15"/>
  <c r="I67" i="15"/>
  <c r="H89" i="15"/>
  <c r="I91" i="15"/>
  <c r="I43" i="15"/>
  <c r="I47" i="15"/>
  <c r="I18" i="15"/>
  <c r="I15" i="15"/>
  <c r="I75" i="15"/>
  <c r="H11" i="15"/>
  <c r="H91" i="15"/>
  <c r="H19" i="15"/>
  <c r="H93" i="15"/>
  <c r="H18" i="15"/>
  <c r="H64" i="15"/>
  <c r="H75" i="15"/>
  <c r="H36" i="15"/>
  <c r="I71" i="15"/>
  <c r="H17" i="15"/>
  <c r="H78" i="15"/>
  <c r="H48" i="15"/>
  <c r="H82" i="15"/>
  <c r="H60" i="15"/>
  <c r="I39" i="15"/>
  <c r="I66" i="15"/>
  <c r="H80" i="15"/>
  <c r="I80" i="15"/>
  <c r="I84" i="15"/>
  <c r="I60" i="15"/>
  <c r="H69" i="15"/>
  <c r="H79" i="15"/>
  <c r="H26" i="15"/>
  <c r="I35" i="15"/>
  <c r="I21" i="15"/>
  <c r="I51" i="15"/>
  <c r="H42" i="15"/>
  <c r="H24" i="15"/>
  <c r="H62" i="15"/>
  <c r="H102" i="15"/>
  <c r="I65" i="15"/>
  <c r="I37" i="15"/>
  <c r="D2" i="15" l="1"/>
  <c r="E2" i="15" s="1"/>
  <c r="B41" i="15"/>
  <c r="B78" i="15"/>
  <c r="B85" i="15"/>
  <c r="E86" i="15"/>
  <c r="B79" i="15"/>
  <c r="E82" i="15"/>
  <c r="E99" i="15"/>
  <c r="E70" i="15"/>
  <c r="E88" i="15"/>
  <c r="E101" i="15"/>
  <c r="E73" i="15"/>
  <c r="E81" i="15"/>
  <c r="E72" i="15"/>
  <c r="B101" i="15"/>
  <c r="B74" i="15"/>
  <c r="B82" i="15"/>
  <c r="B66" i="15"/>
  <c r="B24" i="15"/>
  <c r="E35" i="15"/>
  <c r="E14" i="15"/>
  <c r="E85" i="15"/>
  <c r="B69" i="15"/>
  <c r="B33" i="15"/>
  <c r="B99" i="15"/>
  <c r="E102" i="15"/>
  <c r="B30" i="15"/>
  <c r="B27" i="15"/>
  <c r="B31" i="15"/>
  <c r="B37" i="15"/>
  <c r="E27" i="15"/>
  <c r="E49" i="15"/>
  <c r="B84" i="15"/>
  <c r="B29" i="15"/>
  <c r="E54" i="15"/>
  <c r="B70" i="15"/>
  <c r="E67" i="15"/>
  <c r="E55" i="15"/>
  <c r="B98" i="15"/>
  <c r="E65" i="15"/>
  <c r="E11" i="15"/>
  <c r="E71" i="15"/>
  <c r="B7" i="15"/>
  <c r="B63" i="15"/>
  <c r="B15" i="15"/>
  <c r="B14" i="15"/>
  <c r="B21" i="15"/>
  <c r="E8" i="15"/>
  <c r="E15" i="15"/>
  <c r="E19" i="15"/>
  <c r="B42" i="15"/>
  <c r="E9" i="15"/>
  <c r="B46" i="15"/>
  <c r="E39" i="15"/>
  <c r="E50" i="15"/>
  <c r="E46" i="15"/>
  <c r="E63" i="15"/>
  <c r="E89" i="15"/>
  <c r="B56" i="15"/>
  <c r="B34" i="15"/>
  <c r="E60" i="15"/>
  <c r="B67" i="15"/>
  <c r="E59" i="15"/>
  <c r="B72" i="15"/>
  <c r="B100" i="15"/>
  <c r="B26" i="15"/>
  <c r="B87" i="15"/>
  <c r="E96" i="15"/>
  <c r="B43" i="15"/>
  <c r="B12" i="15"/>
  <c r="E92" i="15"/>
  <c r="E79" i="15"/>
  <c r="B9" i="15"/>
  <c r="B39" i="15"/>
  <c r="B38" i="15"/>
  <c r="E77" i="15"/>
  <c r="B97" i="15"/>
  <c r="B64" i="15"/>
  <c r="E44" i="15"/>
  <c r="E76" i="15"/>
  <c r="B83" i="15"/>
  <c r="B77" i="15"/>
  <c r="B8" i="15"/>
  <c r="B65" i="15"/>
  <c r="E33" i="15"/>
  <c r="E38" i="15"/>
  <c r="B53" i="15"/>
  <c r="E84" i="15"/>
  <c r="E22" i="15"/>
  <c r="E62" i="15"/>
  <c r="B71" i="15"/>
  <c r="E45" i="15"/>
  <c r="E6" i="15"/>
  <c r="B73" i="15"/>
  <c r="E97" i="15"/>
  <c r="E5" i="15"/>
  <c r="E20" i="15"/>
  <c r="B13" i="15"/>
  <c r="E61" i="15"/>
  <c r="B88" i="15"/>
  <c r="E13" i="15"/>
  <c r="B20" i="15"/>
  <c r="B89" i="15"/>
  <c r="E18" i="15"/>
  <c r="E40" i="15"/>
  <c r="B49" i="15"/>
  <c r="E69" i="15"/>
  <c r="E23" i="15"/>
  <c r="B51" i="15"/>
  <c r="B86" i="15"/>
  <c r="E47" i="15"/>
  <c r="B5" i="15"/>
  <c r="B40" i="15"/>
  <c r="B11" i="15"/>
  <c r="B96" i="15"/>
  <c r="E31" i="15"/>
  <c r="B16" i="15"/>
  <c r="E32" i="15"/>
  <c r="E100" i="15"/>
  <c r="B50" i="15"/>
  <c r="E75" i="15"/>
  <c r="B80" i="15"/>
  <c r="E90" i="15"/>
  <c r="E34" i="15"/>
  <c r="E83" i="15"/>
  <c r="E87" i="15"/>
  <c r="E25" i="15"/>
  <c r="E37" i="15"/>
  <c r="E51" i="15"/>
  <c r="B10" i="15"/>
  <c r="E74" i="15"/>
  <c r="E16" i="15"/>
  <c r="B6" i="15"/>
  <c r="E42" i="15"/>
  <c r="E93" i="15"/>
  <c r="E26" i="15"/>
  <c r="B75" i="15"/>
  <c r="B60" i="15"/>
  <c r="E68" i="15"/>
  <c r="E29" i="15"/>
  <c r="B102" i="15"/>
  <c r="B25" i="15"/>
  <c r="E64" i="15"/>
  <c r="B32" i="15"/>
  <c r="B76" i="15"/>
  <c r="B45" i="15"/>
  <c r="B68" i="15"/>
  <c r="B55" i="15"/>
  <c r="B93" i="15"/>
  <c r="B47" i="15"/>
  <c r="B22" i="15"/>
  <c r="B18" i="15"/>
  <c r="E12" i="15"/>
  <c r="E43" i="15"/>
  <c r="B17" i="15"/>
  <c r="E80" i="15"/>
  <c r="B19" i="15"/>
  <c r="B92" i="15"/>
  <c r="E17" i="15"/>
  <c r="E78" i="15"/>
  <c r="B91" i="15"/>
  <c r="E41" i="15"/>
  <c r="E91" i="15"/>
  <c r="B61" i="15"/>
  <c r="B23" i="15"/>
  <c r="E28" i="15"/>
  <c r="B44" i="15"/>
  <c r="B28" i="15"/>
  <c r="E48" i="15"/>
  <c r="B54" i="15"/>
  <c r="B90" i="15"/>
  <c r="E21" i="15"/>
  <c r="E95" i="15"/>
  <c r="E10" i="15"/>
  <c r="E98" i="15"/>
  <c r="E56" i="15"/>
  <c r="E66" i="15"/>
  <c r="E30" i="15"/>
  <c r="B81" i="15"/>
  <c r="E7" i="15"/>
  <c r="B35" i="15"/>
  <c r="B59" i="15"/>
  <c r="B48" i="15"/>
  <c r="E53" i="15"/>
  <c r="B95" i="15"/>
  <c r="B62" i="15"/>
  <c r="E24" i="15"/>
</calcChain>
</file>

<file path=xl/sharedStrings.xml><?xml version="1.0" encoding="utf-8"?>
<sst xmlns="http://schemas.openxmlformats.org/spreadsheetml/2006/main" count="1461" uniqueCount="560">
  <si>
    <t>賣價</t>
    <phoneticPr fontId="1" type="noConversion"/>
  </si>
  <si>
    <t>買價</t>
    <phoneticPr fontId="1" type="noConversion"/>
  </si>
  <si>
    <t>AUDUSD</t>
    <phoneticPr fontId="1" type="noConversion"/>
  </si>
  <si>
    <t>GBPUSD</t>
    <phoneticPr fontId="1" type="noConversion"/>
  </si>
  <si>
    <t>NZDUSD</t>
    <phoneticPr fontId="1" type="noConversion"/>
  </si>
  <si>
    <t>USDJPY</t>
    <phoneticPr fontId="1" type="noConversion"/>
  </si>
  <si>
    <t>商品資訊</t>
    <phoneticPr fontId="1" type="noConversion"/>
  </si>
  <si>
    <t>貨幣</t>
    <phoneticPr fontId="1" type="noConversion"/>
  </si>
  <si>
    <t>美元</t>
    <phoneticPr fontId="1" type="noConversion"/>
  </si>
  <si>
    <t>USDCNH</t>
    <phoneticPr fontId="1" type="noConversion"/>
  </si>
  <si>
    <t>EURJPY</t>
    <phoneticPr fontId="1" type="noConversion"/>
  </si>
  <si>
    <t>EURAUD</t>
    <phoneticPr fontId="1" type="noConversion"/>
  </si>
  <si>
    <t>EURCAD</t>
    <phoneticPr fontId="1" type="noConversion"/>
  </si>
  <si>
    <t>EURGBP</t>
    <phoneticPr fontId="1" type="noConversion"/>
  </si>
  <si>
    <t>EURNZD</t>
    <phoneticPr fontId="1" type="noConversion"/>
  </si>
  <si>
    <t>GBPAUD</t>
    <phoneticPr fontId="1" type="noConversion"/>
  </si>
  <si>
    <t>GBPNZD</t>
    <phoneticPr fontId="1" type="noConversion"/>
  </si>
  <si>
    <t>GBPJPY</t>
    <phoneticPr fontId="1" type="noConversion"/>
  </si>
  <si>
    <t>USDCAD</t>
    <phoneticPr fontId="1" type="noConversion"/>
  </si>
  <si>
    <t>AUDCAD</t>
    <phoneticPr fontId="1" type="noConversion"/>
  </si>
  <si>
    <t>GBPCAD</t>
    <phoneticPr fontId="1" type="noConversion"/>
  </si>
  <si>
    <t>NZDCAD</t>
    <phoneticPr fontId="1" type="noConversion"/>
  </si>
  <si>
    <t>NZDJPY</t>
    <phoneticPr fontId="1" type="noConversion"/>
  </si>
  <si>
    <t>賣出利息</t>
    <phoneticPr fontId="1" type="noConversion"/>
  </si>
  <si>
    <t>CADJPY</t>
    <phoneticPr fontId="1" type="noConversion"/>
  </si>
  <si>
    <t>天</t>
    <phoneticPr fontId="1" type="noConversion"/>
  </si>
  <si>
    <t>EURUSD</t>
    <phoneticPr fontId="1" type="noConversion"/>
  </si>
  <si>
    <t>AUDNZD</t>
    <phoneticPr fontId="1" type="noConversion"/>
  </si>
  <si>
    <t>AUDJPY</t>
    <phoneticPr fontId="1" type="noConversion"/>
  </si>
  <si>
    <t>買入利息</t>
    <phoneticPr fontId="1" type="noConversion"/>
  </si>
  <si>
    <t>台幣</t>
    <phoneticPr fontId="1" type="noConversion"/>
  </si>
  <si>
    <t>類型</t>
    <phoneticPr fontId="1" type="noConversion"/>
  </si>
  <si>
    <t>單位</t>
    <phoneticPr fontId="1" type="noConversion"/>
  </si>
  <si>
    <t>槓桿倍數</t>
    <phoneticPr fontId="1" type="noConversion"/>
  </si>
  <si>
    <t>倍</t>
    <phoneticPr fontId="1" type="noConversion"/>
  </si>
  <si>
    <t>保證金試算</t>
    <phoneticPr fontId="1" type="noConversion"/>
  </si>
  <si>
    <t>隔夜利息</t>
    <phoneticPr fontId="1" type="noConversion"/>
  </si>
  <si>
    <t>計價</t>
    <phoneticPr fontId="1" type="noConversion"/>
  </si>
  <si>
    <t>商品資訊</t>
    <phoneticPr fontId="1" type="noConversion"/>
  </si>
  <si>
    <t>貨幣對</t>
    <phoneticPr fontId="1" type="noConversion"/>
  </si>
  <si>
    <t>交叉貨幣</t>
    <phoneticPr fontId="1" type="noConversion"/>
  </si>
  <si>
    <t>買價</t>
    <phoneticPr fontId="1" type="noConversion"/>
  </si>
  <si>
    <t>賣出利差</t>
    <phoneticPr fontId="1" type="noConversion"/>
  </si>
  <si>
    <t>買入利差</t>
    <phoneticPr fontId="1" type="noConversion"/>
  </si>
  <si>
    <t>報價</t>
    <phoneticPr fontId="1" type="noConversion"/>
  </si>
  <si>
    <t>隔夜利息</t>
    <phoneticPr fontId="1" type="noConversion"/>
  </si>
  <si>
    <t>商品</t>
    <phoneticPr fontId="1" type="noConversion"/>
  </si>
  <si>
    <t>賣入一單位商品貨幣所需的計價貨幣</t>
    <phoneticPr fontId="1" type="noConversion"/>
  </si>
  <si>
    <r>
      <rPr>
        <sz val="11"/>
        <color theme="1"/>
        <rFont val="細明體"/>
        <family val="3"/>
        <charset val="136"/>
      </rPr>
      <t>買入</t>
    </r>
    <r>
      <rPr>
        <sz val="11"/>
        <color theme="1"/>
        <rFont val="MS PGothic"/>
        <family val="2"/>
        <charset val="128"/>
      </rPr>
      <t>貨幣對所需</t>
    </r>
    <r>
      <rPr>
        <sz val="11"/>
        <color theme="1"/>
        <rFont val="細明體"/>
        <family val="3"/>
        <charset val="136"/>
      </rPr>
      <t>收或</t>
    </r>
    <r>
      <rPr>
        <sz val="11"/>
        <color theme="1"/>
        <rFont val="MS PGothic"/>
        <family val="2"/>
        <charset val="128"/>
      </rPr>
      <t>支付的計價貨幣數量</t>
    </r>
    <phoneticPr fontId="1" type="noConversion"/>
  </si>
  <si>
    <r>
      <t>賣出貨幣對所需</t>
    </r>
    <r>
      <rPr>
        <sz val="11"/>
        <color theme="1"/>
        <rFont val="細明體"/>
        <family val="3"/>
        <charset val="136"/>
      </rPr>
      <t>收或</t>
    </r>
    <r>
      <rPr>
        <sz val="11"/>
        <color theme="1"/>
        <rFont val="MS PGothic"/>
        <family val="2"/>
        <charset val="128"/>
      </rPr>
      <t>支付的計價貨幣數量</t>
    </r>
    <phoneticPr fontId="1" type="noConversion"/>
  </si>
  <si>
    <t>手</t>
    <phoneticPr fontId="1" type="noConversion"/>
  </si>
  <si>
    <t>標準手為100,000單位的商品貨幣，最小為0.01手</t>
    <phoneticPr fontId="1" type="noConversion"/>
  </si>
  <si>
    <t>槓桿</t>
    <phoneticPr fontId="1" type="noConversion"/>
  </si>
  <si>
    <t>倍</t>
    <phoneticPr fontId="1" type="noConversion"/>
  </si>
  <si>
    <t>成本</t>
    <phoneticPr fontId="1" type="noConversion"/>
  </si>
  <si>
    <t>浮動損益</t>
    <phoneticPr fontId="1" type="noConversion"/>
  </si>
  <si>
    <t>台幣</t>
    <phoneticPr fontId="1" type="noConversion"/>
  </si>
  <si>
    <t>將浮動損益換成台幣</t>
    <phoneticPr fontId="1" type="noConversion"/>
  </si>
  <si>
    <t>計價</t>
    <phoneticPr fontId="1" type="noConversion"/>
  </si>
  <si>
    <t>將隔夜利息換成台幣</t>
    <phoneticPr fontId="1" type="noConversion"/>
  </si>
  <si>
    <r>
      <t>以美東下午五點為基準，自動將所有未平倉頭寸</t>
    </r>
    <r>
      <rPr>
        <sz val="11"/>
        <color theme="1"/>
        <rFont val="細明體"/>
        <family val="3"/>
        <charset val="136"/>
      </rPr>
      <t>辦</t>
    </r>
    <r>
      <rPr>
        <sz val="11"/>
        <color theme="1"/>
        <rFont val="MS PGothic"/>
        <family val="2"/>
        <charset val="128"/>
      </rPr>
      <t>理延期過夜，使原來的外匯部位能在到期前轉移到下一個交易日。由於假日兩天不上班,外匯市場上將在星期三過夜的倉位計算三天的利息，所以在星期三持倉過夜，利息一般是平常持倉過夜的三天。</t>
    </r>
    <phoneticPr fontId="1" type="noConversion"/>
  </si>
  <si>
    <t>CPMINDX Index</t>
    <phoneticPr fontId="20" type="noConversion"/>
  </si>
  <si>
    <t>製造業採購經理人指數</t>
    <phoneticPr fontId="20" type="noConversion"/>
  </si>
  <si>
    <t>高</t>
  </si>
  <si>
    <t>EC11FLAS Index</t>
  </si>
  <si>
    <t>中</t>
  </si>
  <si>
    <t>NAPMPMI Index</t>
  </si>
  <si>
    <t>ISM 製造業指數</t>
  </si>
  <si>
    <t>低</t>
  </si>
  <si>
    <t>貿易收支</t>
  </si>
  <si>
    <t>PCE CMOM Index</t>
  </si>
  <si>
    <t>個人消費支出核心指數(月比)</t>
  </si>
  <si>
    <t>PCE CRCH Index</t>
  </si>
  <si>
    <t>個人支出</t>
  </si>
  <si>
    <t>ADP 就業變動</t>
  </si>
  <si>
    <t>UKBRBASE Index</t>
  </si>
  <si>
    <t>INJCJC Index</t>
  </si>
  <si>
    <t>首次申請失業救濟金人數</t>
  </si>
  <si>
    <t>CANLXEMR Index</t>
  </si>
  <si>
    <t>失業率</t>
  </si>
  <si>
    <t>NFP TCH Index</t>
  </si>
  <si>
    <t>非農業就業人口變動(千人)</t>
    <phoneticPr fontId="20" type="noConversion"/>
  </si>
  <si>
    <t>CNFRBAL$ Index</t>
  </si>
  <si>
    <t>CNFREXPY Index</t>
  </si>
  <si>
    <t>貿易收支-餘額基礎</t>
  </si>
  <si>
    <t>消費者物價指數 (月比)</t>
  </si>
  <si>
    <t>消費者物價指數 (年比)</t>
  </si>
  <si>
    <t>CHEFTYOY Index</t>
  </si>
  <si>
    <t>生產者物價指數(年比)</t>
  </si>
  <si>
    <t>CNCPIYOY Index</t>
  </si>
  <si>
    <t>消費者物價指數(年比)</t>
  </si>
  <si>
    <t>工具機訂單(年比)</t>
  </si>
  <si>
    <t>JNMTOY   Index</t>
  </si>
  <si>
    <t>工具機訂單(年比)</t>
    <phoneticPr fontId="20" type="noConversion"/>
  </si>
  <si>
    <t>消費者物價指數(月比)</t>
  </si>
  <si>
    <t>CNRSCYOY Index</t>
  </si>
  <si>
    <t>零售銷售 (年比)</t>
  </si>
  <si>
    <t>GRCP20MM Index</t>
  </si>
  <si>
    <t>GRCP20YY Index</t>
  </si>
  <si>
    <t>GDPB95YY Index</t>
  </si>
  <si>
    <t>GRGDPPGQ Index</t>
  </si>
  <si>
    <t>GRGDPPGY Index</t>
  </si>
  <si>
    <t>EUGNEMUQ Index</t>
  </si>
  <si>
    <t>歐元區GDP 經季調 (季比)</t>
  </si>
  <si>
    <t>EUGNEMUY Index</t>
  </si>
  <si>
    <t>歐元區GDP 經季調 (年比)</t>
  </si>
  <si>
    <t>RSTAXAG% Index</t>
  </si>
  <si>
    <t>零售銷售(不含汽車及汽油)</t>
    <phoneticPr fontId="20" type="noConversion"/>
  </si>
  <si>
    <t>RSTAXMOM Index</t>
  </si>
  <si>
    <t>零售銷售額(不含汽車)</t>
    <phoneticPr fontId="20" type="noConversion"/>
  </si>
  <si>
    <t>PPI CHNG Index</t>
  </si>
  <si>
    <t>生產者物價指數(月比)</t>
  </si>
  <si>
    <t>PPI XYOY Index</t>
  </si>
  <si>
    <t>核心生產者物價指數 不含食品及能源 (年比)</t>
  </si>
  <si>
    <t>PPI YOY Index</t>
  </si>
  <si>
    <t>PXFECHNG Index</t>
  </si>
  <si>
    <t>核心生產者物價指數 不含食品及能源 (月比)</t>
  </si>
  <si>
    <t>CONSSENT Index</t>
  </si>
  <si>
    <t>密西根大學消費者信心指數</t>
  </si>
  <si>
    <t>JGDPQGDP Index</t>
  </si>
  <si>
    <t>UKRPCJMR Index</t>
  </si>
  <si>
    <t>UKRPCJYR Index</t>
  </si>
  <si>
    <t>UKHCA9IQ Index</t>
  </si>
  <si>
    <t>CPI XYOY Index</t>
  </si>
  <si>
    <t>核心消費者物價指數 不含食品及能源(年比)</t>
  </si>
  <si>
    <t>CPI YOY Index</t>
  </si>
  <si>
    <t>JNTBAL   Index</t>
  </si>
  <si>
    <t>AULFUNEM Index</t>
  </si>
  <si>
    <t>CPEXEMUY Index</t>
  </si>
  <si>
    <t>歐元區 核心CPI (年比)</t>
  </si>
  <si>
    <t>ECCPEMUM Index</t>
  </si>
  <si>
    <t>歐元區 CPI (月比)</t>
  </si>
  <si>
    <t>ECCPEMUY Index</t>
  </si>
  <si>
    <t>歐元區CPI (年比)</t>
  </si>
  <si>
    <t>CACPICHG Index</t>
  </si>
  <si>
    <t>CACPIYOY Index</t>
  </si>
  <si>
    <t>CARSCHNG Index</t>
  </si>
  <si>
    <t>零售銷售(月比)</t>
  </si>
  <si>
    <t>CARSXASC Index</t>
  </si>
  <si>
    <t>JNCPIXFF Index</t>
  </si>
  <si>
    <t>JNCPT    Index</t>
  </si>
  <si>
    <t>JNCPTXFF Index</t>
  </si>
  <si>
    <t>消費者信心指數</t>
  </si>
  <si>
    <t>UKGRABIQ Index</t>
  </si>
  <si>
    <t>UKGRABIY Index</t>
  </si>
  <si>
    <t>JNUE     Index</t>
  </si>
  <si>
    <t>失業率</t>
    <phoneticPr fontId="20" type="noConversion"/>
  </si>
  <si>
    <t>JNNETYOY Index</t>
  </si>
  <si>
    <t>JNRETMOM Index</t>
  </si>
  <si>
    <t>CAGDPMOM Index</t>
  </si>
  <si>
    <t>國內生產毛額 (月比)</t>
  </si>
  <si>
    <t>CAGDPYOY Index</t>
  </si>
  <si>
    <t>CHPMINDX Index</t>
  </si>
  <si>
    <t>芝加哥採購經理人指數</t>
  </si>
  <si>
    <t>EURR002W Index</t>
  </si>
  <si>
    <t>ECB 利率公告</t>
  </si>
  <si>
    <t>FDTR Index</t>
  </si>
  <si>
    <t>FOMC利率決策</t>
  </si>
  <si>
    <t>GRFRIAMM Index</t>
  </si>
  <si>
    <t>零售銷售 (月比)</t>
  </si>
  <si>
    <t>GRFRINYY Index</t>
  </si>
  <si>
    <t>USDJPY</t>
    <phoneticPr fontId="1" type="noConversion"/>
  </si>
  <si>
    <t>EURJPY</t>
    <phoneticPr fontId="1" type="noConversion"/>
  </si>
  <si>
    <t>賣價</t>
    <phoneticPr fontId="1" type="noConversion"/>
  </si>
  <si>
    <t>賣出利息</t>
    <phoneticPr fontId="1" type="noConversion"/>
  </si>
  <si>
    <t>EURGBP</t>
    <phoneticPr fontId="1" type="noConversion"/>
  </si>
  <si>
    <t>EURNZD</t>
    <phoneticPr fontId="1" type="noConversion"/>
  </si>
  <si>
    <t>AUDNZD</t>
    <phoneticPr fontId="1" type="noConversion"/>
  </si>
  <si>
    <t>AUDJPY</t>
    <phoneticPr fontId="1" type="noConversion"/>
  </si>
  <si>
    <t>AUDCAD</t>
    <phoneticPr fontId="1" type="noConversion"/>
  </si>
  <si>
    <t>NZDCAD</t>
    <phoneticPr fontId="1" type="noConversion"/>
  </si>
  <si>
    <t>NZDJPY</t>
    <phoneticPr fontId="1" type="noConversion"/>
  </si>
  <si>
    <t>PX_LAST</t>
  </si>
  <si>
    <t>UKRPI    Index</t>
  </si>
  <si>
    <t>NZCPICHG Index</t>
  </si>
  <si>
    <t>NZLFUNER Index</t>
  </si>
  <si>
    <t>MPMICAMA Index</t>
  </si>
  <si>
    <t>美元</t>
    <phoneticPr fontId="1" type="noConversion"/>
  </si>
  <si>
    <t xml:space="preserve"> </t>
    <phoneticPr fontId="1" type="noConversion"/>
  </si>
  <si>
    <t>EURJPY</t>
  </si>
  <si>
    <r>
      <t>計算在</t>
    </r>
    <r>
      <rPr>
        <sz val="11"/>
        <color theme="1"/>
        <rFont val="細明體"/>
        <family val="3"/>
        <charset val="136"/>
      </rPr>
      <t>給定</t>
    </r>
    <r>
      <rPr>
        <sz val="11"/>
        <color theme="1"/>
        <rFont val="MS PGothic"/>
        <family val="2"/>
        <charset val="128"/>
      </rPr>
      <t>價格下買入或賣出的損益</t>
    </r>
    <phoneticPr fontId="1" type="noConversion"/>
  </si>
  <si>
    <t>基礎貨幣為USD的貨幣對</t>
    <phoneticPr fontId="1" type="noConversion"/>
  </si>
  <si>
    <r>
      <t>商品貨幣為USD的貨幣</t>
    </r>
    <r>
      <rPr>
        <sz val="11"/>
        <color theme="1"/>
        <rFont val="細明體"/>
        <family val="3"/>
        <charset val="136"/>
      </rPr>
      <t>對</t>
    </r>
    <phoneticPr fontId="1" type="noConversion"/>
  </si>
  <si>
    <t>商品與基礎貨幣非USD的貨幣對</t>
    <phoneticPr fontId="1" type="noConversion"/>
  </si>
  <si>
    <t>美國</t>
    <phoneticPr fontId="1" type="noConversion"/>
  </si>
  <si>
    <t>加拿大</t>
    <phoneticPr fontId="1" type="noConversion"/>
  </si>
  <si>
    <t>日本</t>
    <phoneticPr fontId="1" type="noConversion"/>
  </si>
  <si>
    <t>中國</t>
    <phoneticPr fontId="1" type="noConversion"/>
  </si>
  <si>
    <t>澳洲</t>
    <phoneticPr fontId="1" type="noConversion"/>
  </si>
  <si>
    <t>紐西蘭</t>
    <phoneticPr fontId="1" type="noConversion"/>
  </si>
  <si>
    <t>英國</t>
    <phoneticPr fontId="1" type="noConversion"/>
  </si>
  <si>
    <t>歐元區</t>
    <phoneticPr fontId="1" type="noConversion"/>
  </si>
  <si>
    <t>德國</t>
    <phoneticPr fontId="1" type="noConversion"/>
  </si>
  <si>
    <t>國家</t>
    <phoneticPr fontId="1" type="noConversion"/>
  </si>
  <si>
    <t>事件</t>
    <phoneticPr fontId="1" type="noConversion"/>
  </si>
  <si>
    <t>代碼</t>
    <phoneticPr fontId="1" type="noConversion"/>
  </si>
  <si>
    <t>CPI-生鮮</t>
    <phoneticPr fontId="1" type="noConversion"/>
  </si>
  <si>
    <t>GDP MoM</t>
    <phoneticPr fontId="1" type="noConversion"/>
  </si>
  <si>
    <t>BOJ</t>
    <phoneticPr fontId="1" type="noConversion"/>
  </si>
  <si>
    <t>失業率</t>
    <phoneticPr fontId="1" type="noConversion"/>
  </si>
  <si>
    <t>出口年比</t>
    <phoneticPr fontId="1" type="noConversion"/>
  </si>
  <si>
    <t>CPI季比</t>
    <phoneticPr fontId="1" type="noConversion"/>
  </si>
  <si>
    <t>CPI年比</t>
    <phoneticPr fontId="1" type="noConversion"/>
  </si>
  <si>
    <t>NZCPIYOY Index</t>
    <phoneticPr fontId="1" type="noConversion"/>
  </si>
  <si>
    <t>matkit製造頁採購經理任指數</t>
    <phoneticPr fontId="1" type="noConversion"/>
  </si>
  <si>
    <t>消費者信心指數</t>
    <phoneticPr fontId="1" type="noConversion"/>
  </si>
  <si>
    <t>EUCCEMU  Index</t>
  </si>
  <si>
    <t>ECB主要在融資利率</t>
    <phoneticPr fontId="1" type="noConversion"/>
  </si>
  <si>
    <t>ECB Maginal lending facility</t>
    <phoneticPr fontId="1" type="noConversion"/>
  </si>
  <si>
    <t>EUORMARG Index</t>
  </si>
  <si>
    <t>ECB存款授信額度利率</t>
    <phoneticPr fontId="1" type="noConversion"/>
  </si>
  <si>
    <t>EUORDEPO Index</t>
  </si>
  <si>
    <t>失業率</t>
    <phoneticPr fontId="1" type="noConversion"/>
  </si>
  <si>
    <t>UMRTEMU  Index</t>
  </si>
  <si>
    <t>MARKIT製造業</t>
    <phoneticPr fontId="1" type="noConversion"/>
  </si>
  <si>
    <t>MPMIEZMA Index</t>
  </si>
  <si>
    <t>BOJDPBAL Index</t>
  </si>
  <si>
    <t>BOJDPRLT Index</t>
  </si>
  <si>
    <t>MPMIJPMA Index</t>
  </si>
  <si>
    <t>東京消費者物價至數YOY</t>
    <phoneticPr fontId="1" type="noConversion"/>
  </si>
  <si>
    <t>東京消費者物價指數(扣除生鮮)</t>
    <phoneticPr fontId="1" type="noConversion"/>
  </si>
  <si>
    <t>零售銷售越比</t>
    <phoneticPr fontId="1" type="noConversion"/>
  </si>
  <si>
    <t>BOJ政策餘額利率</t>
    <phoneticPr fontId="1" type="noConversion"/>
  </si>
  <si>
    <t>BOJ十年目標殖利率</t>
    <phoneticPr fontId="1" type="noConversion"/>
  </si>
  <si>
    <t>日經日本製造業採購經理人指數</t>
    <phoneticPr fontId="1" type="noConversion"/>
  </si>
  <si>
    <t>CPI年比</t>
    <phoneticPr fontId="1" type="noConversion"/>
  </si>
  <si>
    <t>GDP年比</t>
    <phoneticPr fontId="1" type="noConversion"/>
  </si>
  <si>
    <t>CNGDPYOY Index</t>
  </si>
  <si>
    <t>GDP季調季比</t>
    <phoneticPr fontId="1" type="noConversion"/>
  </si>
  <si>
    <t>CNGDPQOQ Index</t>
  </si>
  <si>
    <t>央行正是現金利率</t>
    <phoneticPr fontId="1" type="noConversion"/>
  </si>
  <si>
    <t>NZOCR    Index</t>
  </si>
  <si>
    <t>貿易收支</t>
    <phoneticPr fontId="1" type="noConversion"/>
  </si>
  <si>
    <t>NZMTBAL  Index</t>
  </si>
  <si>
    <t>BUSINESSNZ採購經理人指數</t>
    <phoneticPr fontId="1" type="noConversion"/>
  </si>
  <si>
    <t>NZPMISA  Index</t>
  </si>
  <si>
    <t>GDP季調季比</t>
    <phoneticPr fontId="1" type="noConversion"/>
  </si>
  <si>
    <t>NZNTGDPC Index</t>
  </si>
  <si>
    <t>GDP年比</t>
    <phoneticPr fontId="1" type="noConversion"/>
  </si>
  <si>
    <t>NZNTGDPY Index</t>
    <phoneticPr fontId="1" type="noConversion"/>
  </si>
  <si>
    <t>CPI季比</t>
    <phoneticPr fontId="1" type="noConversion"/>
  </si>
  <si>
    <t>AUCPICHG Index</t>
  </si>
  <si>
    <t>CPI年比</t>
    <phoneticPr fontId="1" type="noConversion"/>
  </si>
  <si>
    <t>AUCPIYOY Index</t>
  </si>
  <si>
    <t>貿易收支</t>
    <phoneticPr fontId="1" type="noConversion"/>
  </si>
  <si>
    <t>AUITGSB  Index</t>
  </si>
  <si>
    <t>AURSTSA  Index</t>
  </si>
  <si>
    <t>GDP季調季比</t>
    <phoneticPr fontId="1" type="noConversion"/>
  </si>
  <si>
    <t>AUNAGDPC Index</t>
  </si>
  <si>
    <t>GDP年比</t>
    <phoneticPr fontId="1" type="noConversion"/>
  </si>
  <si>
    <t>AUNAGDPY Index</t>
  </si>
  <si>
    <t>現金利率目標</t>
    <phoneticPr fontId="1" type="noConversion"/>
  </si>
  <si>
    <t>RBATCTR  Index</t>
  </si>
  <si>
    <t>商品指數SDR</t>
    <phoneticPr fontId="1" type="noConversion"/>
  </si>
  <si>
    <t>AURBSDY% Index</t>
  </si>
  <si>
    <t>MARKIT製造業採購經理人</t>
    <phoneticPr fontId="1" type="noConversion"/>
  </si>
  <si>
    <t>MPMIDEMA Index</t>
  </si>
  <si>
    <t>GDP WDA 年比</t>
    <phoneticPr fontId="1" type="noConversion"/>
  </si>
  <si>
    <t>GDP季比</t>
    <phoneticPr fontId="1" type="noConversion"/>
  </si>
  <si>
    <t>GDP年比</t>
    <phoneticPr fontId="1" type="noConversion"/>
  </si>
  <si>
    <t>CPI月比</t>
    <phoneticPr fontId="1" type="noConversion"/>
  </si>
  <si>
    <t>CPI年比</t>
    <phoneticPr fontId="1" type="noConversion"/>
  </si>
  <si>
    <t>核心CPI</t>
    <phoneticPr fontId="1" type="noConversion"/>
  </si>
  <si>
    <t>零售銷售指數</t>
    <phoneticPr fontId="1" type="noConversion"/>
  </si>
  <si>
    <t>CABROVER Index</t>
  </si>
  <si>
    <t>央行利率決議</t>
    <phoneticPr fontId="1" type="noConversion"/>
  </si>
  <si>
    <t>零售銷售</t>
    <phoneticPr fontId="1" type="noConversion"/>
  </si>
  <si>
    <t>零售銷售不含汽車</t>
    <phoneticPr fontId="1" type="noConversion"/>
  </si>
  <si>
    <t>時間日期</t>
    <phoneticPr fontId="1" type="noConversion"/>
  </si>
  <si>
    <t>重要性</t>
    <phoneticPr fontId="1" type="noConversion"/>
  </si>
  <si>
    <r>
      <t>生</t>
    </r>
    <r>
      <rPr>
        <sz val="12"/>
        <rFont val="微軟正黑體"/>
        <family val="2"/>
        <charset val="136"/>
      </rPr>
      <t>產</t>
    </r>
    <r>
      <rPr>
        <sz val="12"/>
        <rFont val="MS PGothic"/>
        <family val="2"/>
        <charset val="128"/>
      </rPr>
      <t>者物價指數(月比)</t>
    </r>
  </si>
  <si>
    <r>
      <t>核心生</t>
    </r>
    <r>
      <rPr>
        <sz val="12"/>
        <rFont val="微軟正黑體"/>
        <family val="2"/>
        <charset val="136"/>
      </rPr>
      <t>產</t>
    </r>
    <r>
      <rPr>
        <sz val="12"/>
        <rFont val="MS PGothic"/>
        <family val="2"/>
        <charset val="128"/>
      </rPr>
      <t>者物價指數 不含食品及能源 (年比)</t>
    </r>
  </si>
  <si>
    <r>
      <t>生</t>
    </r>
    <r>
      <rPr>
        <sz val="12"/>
        <rFont val="微軟正黑體"/>
        <family val="2"/>
        <charset val="136"/>
      </rPr>
      <t>產</t>
    </r>
    <r>
      <rPr>
        <sz val="12"/>
        <rFont val="MS PGothic"/>
        <family val="2"/>
        <charset val="128"/>
      </rPr>
      <t>者物價指數(年比)</t>
    </r>
  </si>
  <si>
    <r>
      <t>核心生</t>
    </r>
    <r>
      <rPr>
        <sz val="12"/>
        <rFont val="微軟正黑體"/>
        <family val="2"/>
        <charset val="136"/>
      </rPr>
      <t>產</t>
    </r>
    <r>
      <rPr>
        <sz val="12"/>
        <rFont val="MS PGothic"/>
        <family val="2"/>
        <charset val="128"/>
      </rPr>
      <t>者物價指數 不含食品及能源 (月比)</t>
    </r>
  </si>
  <si>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 (月比)</t>
    </r>
  </si>
  <si>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毛額(年比)</t>
    </r>
    <phoneticPr fontId="20" type="noConversion"/>
  </si>
  <si>
    <r>
      <t>匯豐HSBC製造業採購經理人指數(初</t>
    </r>
    <r>
      <rPr>
        <sz val="12"/>
        <rFont val="微軟正黑體"/>
        <family val="2"/>
        <charset val="136"/>
      </rPr>
      <t>值</t>
    </r>
    <r>
      <rPr>
        <sz val="12"/>
        <rFont val="MS PGothic"/>
        <family val="2"/>
        <charset val="128"/>
      </rPr>
      <t>)</t>
    </r>
    <phoneticPr fontId="20"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</si>
  <si>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毛額未經季調(年比)</t>
    </r>
    <phoneticPr fontId="20"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</si>
  <si>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毛額經季調(季比)</t>
    </r>
    <phoneticPr fontId="20"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</si>
  <si>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毛額經季調(年比)</t>
    </r>
    <phoneticPr fontId="20" type="noConversion"/>
  </si>
  <si>
    <r>
      <t>經濟日</t>
    </r>
    <r>
      <rPr>
        <sz val="12"/>
        <color theme="1"/>
        <rFont val="新細明體"/>
        <family val="2"/>
        <charset val="136"/>
      </rPr>
      <t>曆</t>
    </r>
    <phoneticPr fontId="1" type="noConversion"/>
  </si>
  <si>
    <t>NZDCAD</t>
  </si>
  <si>
    <t>NZDJPY</t>
  </si>
  <si>
    <t>CADJPY</t>
  </si>
  <si>
    <t>間接貨幣</t>
    <phoneticPr fontId="1" type="noConversion"/>
  </si>
  <si>
    <t>直接貨幣</t>
    <phoneticPr fontId="1" type="noConversion"/>
  </si>
  <si>
    <t>損益試算</t>
    <phoneticPr fontId="1" type="noConversion"/>
  </si>
  <si>
    <t>TWD</t>
    <phoneticPr fontId="1" type="noConversion"/>
  </si>
  <si>
    <t>AUDCAD</t>
  </si>
  <si>
    <t>AUDJPY</t>
  </si>
  <si>
    <t>AUDNZD</t>
  </si>
  <si>
    <t>EURAUD</t>
  </si>
  <si>
    <t>EURCAD</t>
  </si>
  <si>
    <t>EURGBP</t>
  </si>
  <si>
    <t>EURNZD</t>
  </si>
  <si>
    <t>GBPAUD</t>
  </si>
  <si>
    <t>GBPCAD</t>
  </si>
  <si>
    <t>GBPJPY</t>
  </si>
  <si>
    <t>GBPNZD</t>
  </si>
  <si>
    <t>賣價</t>
  </si>
  <si>
    <t>銀行賣出</t>
    <phoneticPr fontId="1" type="noConversion"/>
  </si>
  <si>
    <t>銀行買入</t>
    <phoneticPr fontId="1" type="noConversion"/>
  </si>
  <si>
    <r>
      <t>調</t>
    </r>
    <r>
      <rPr>
        <b/>
        <sz val="12"/>
        <color theme="1"/>
        <rFont val="新細明體"/>
        <family val="2"/>
        <charset val="136"/>
      </rPr>
      <t>查值</t>
    </r>
    <phoneticPr fontId="1" type="noConversion"/>
  </si>
  <si>
    <r>
      <t>前</t>
    </r>
    <r>
      <rPr>
        <b/>
        <sz val="12"/>
        <color theme="1"/>
        <rFont val="新細明體"/>
        <family val="2"/>
        <charset val="136"/>
      </rPr>
      <t>值</t>
    </r>
    <phoneticPr fontId="1" type="noConversion"/>
  </si>
  <si>
    <r>
      <rPr>
        <b/>
        <sz val="12"/>
        <color theme="1"/>
        <rFont val="新細明體"/>
        <family val="2"/>
        <charset val="136"/>
      </rPr>
      <t>觀察</t>
    </r>
    <r>
      <rPr>
        <b/>
        <sz val="12"/>
        <color theme="1"/>
        <rFont val="MS PGothic"/>
        <family val="2"/>
        <charset val="128"/>
      </rPr>
      <t>月</t>
    </r>
    <r>
      <rPr>
        <b/>
        <sz val="12"/>
        <color theme="1"/>
        <rFont val="新細明體"/>
        <family val="2"/>
        <charset val="136"/>
      </rPr>
      <t>份</t>
    </r>
    <phoneticPr fontId="1" type="noConversion"/>
  </si>
  <si>
    <t>高</t>
    <phoneticPr fontId="1" type="noConversion"/>
  </si>
  <si>
    <t>低</t>
    <phoneticPr fontId="1" type="noConversion"/>
  </si>
  <si>
    <t>中</t>
    <phoneticPr fontId="1" type="noConversion"/>
  </si>
  <si>
    <r>
      <t>工具機訂單(</t>
    </r>
    <r>
      <rPr>
        <sz val="12"/>
        <rFont val="細明體"/>
        <family val="3"/>
        <charset val="136"/>
      </rPr>
      <t>月</t>
    </r>
    <r>
      <rPr>
        <sz val="12"/>
        <rFont val="MS PGothic"/>
        <family val="2"/>
        <charset val="128"/>
      </rPr>
      <t>比)</t>
    </r>
    <phoneticPr fontId="20" type="noConversion"/>
  </si>
  <si>
    <r>
      <t>零售銷售</t>
    </r>
    <r>
      <rPr>
        <sz val="12"/>
        <color theme="1"/>
        <rFont val="細明體"/>
        <family val="3"/>
        <charset val="136"/>
      </rPr>
      <t>月</t>
    </r>
    <r>
      <rPr>
        <sz val="12"/>
        <color theme="1"/>
        <rFont val="MS PGothic"/>
        <family val="2"/>
        <charset val="128"/>
      </rPr>
      <t>比</t>
    </r>
    <phoneticPr fontId="1" type="noConversion"/>
  </si>
  <si>
    <t>零售銷售年比</t>
    <phoneticPr fontId="1" type="noConversion"/>
  </si>
  <si>
    <r>
      <t>國</t>
    </r>
    <r>
      <rPr>
        <sz val="12"/>
        <rFont val="微軟正黑體"/>
        <family val="2"/>
        <charset val="136"/>
      </rPr>
      <t>內</t>
    </r>
    <r>
      <rPr>
        <sz val="12"/>
        <rFont val="MS PGothic"/>
        <family val="2"/>
        <charset val="128"/>
      </rPr>
      <t>生</t>
    </r>
    <r>
      <rPr>
        <sz val="12"/>
        <rFont val="微軟正黑體"/>
        <family val="2"/>
        <charset val="136"/>
      </rPr>
      <t>產</t>
    </r>
    <r>
      <rPr>
        <sz val="12"/>
        <rFont val="MS PGothic"/>
        <family val="2"/>
        <charset val="128"/>
      </rPr>
      <t xml:space="preserve">毛額 </t>
    </r>
    <r>
      <rPr>
        <sz val="12"/>
        <rFont val="微軟正黑體"/>
        <family val="2"/>
        <charset val="136"/>
      </rPr>
      <t>季調</t>
    </r>
    <r>
      <rPr>
        <sz val="12"/>
        <rFont val="MS PGothic"/>
        <family val="2"/>
        <charset val="128"/>
      </rPr>
      <t>(季比)</t>
    </r>
    <phoneticPr fontId="1" type="noConversion"/>
  </si>
  <si>
    <t>貿易收支</t>
    <phoneticPr fontId="1" type="noConversion"/>
  </si>
  <si>
    <t>中</t>
    <phoneticPr fontId="1" type="noConversion"/>
  </si>
  <si>
    <t>PPI年比</t>
    <phoneticPr fontId="1" type="noConversion"/>
  </si>
  <si>
    <t>PPI季比</t>
    <phoneticPr fontId="1" type="noConversion"/>
  </si>
  <si>
    <t>AUPPFMOM Index</t>
  </si>
  <si>
    <t>AUPPFYOY Index</t>
  </si>
  <si>
    <t>中</t>
    <phoneticPr fontId="1" type="noConversion"/>
  </si>
  <si>
    <r>
      <t>EOB</t>
    </r>
    <r>
      <rPr>
        <sz val="12"/>
        <color theme="1"/>
        <rFont val="細明體"/>
        <family val="3"/>
        <charset val="136"/>
      </rPr>
      <t>利率</t>
    </r>
    <phoneticPr fontId="1" type="noConversion"/>
  </si>
  <si>
    <t>高</t>
    <phoneticPr fontId="1" type="noConversion"/>
  </si>
  <si>
    <r>
      <t>消費者物價指數(</t>
    </r>
    <r>
      <rPr>
        <sz val="12"/>
        <rFont val="細明體"/>
        <family val="3"/>
        <charset val="136"/>
      </rPr>
      <t>月</t>
    </r>
    <r>
      <rPr>
        <sz val="12"/>
        <rFont val="MS PGothic"/>
        <family val="2"/>
        <charset val="128"/>
      </rPr>
      <t>比)</t>
    </r>
    <phoneticPr fontId="1" type="noConversion"/>
  </si>
  <si>
    <t>德國</t>
    <phoneticPr fontId="1" type="noConversion"/>
  </si>
  <si>
    <t>高</t>
    <phoneticPr fontId="1" type="noConversion"/>
  </si>
  <si>
    <t>實際值</t>
    <phoneticPr fontId="1" type="noConversion"/>
  </si>
  <si>
    <t>ADP CHNG Index</t>
    <phoneticPr fontId="1" type="noConversion"/>
  </si>
  <si>
    <t>BN_SURVEY_MEDIAN</t>
  </si>
  <si>
    <t>數據調查中位數查詢</t>
    <phoneticPr fontId="1" type="noConversion"/>
  </si>
  <si>
    <t>間接貨幣</t>
    <phoneticPr fontId="1" type="noConversion"/>
  </si>
  <si>
    <t>買入一單位商品貨幣所需的計價貨幣</t>
    <phoneticPr fontId="1" type="noConversion"/>
  </si>
  <si>
    <r>
      <t>交叉貨幣(計價貨幣為直接報價)：
  (</t>
    </r>
    <r>
      <rPr>
        <sz val="11"/>
        <color rgb="FF000000"/>
        <rFont val="MS PGothic"/>
        <family val="2"/>
        <charset val="128"/>
      </rPr>
      <t>單位∗100000)/槓桿倍數÷USDYYY匯率</t>
    </r>
    <phoneticPr fontId="1" type="noConversion"/>
  </si>
  <si>
    <r>
      <t>間接貨幣：(</t>
    </r>
    <r>
      <rPr>
        <sz val="11"/>
        <color rgb="FF000000"/>
        <rFont val="MS PGothic"/>
        <family val="2"/>
        <charset val="128"/>
      </rPr>
      <t>單位∗100000)/槓桿倍數×美金匯率</t>
    </r>
    <phoneticPr fontId="1" type="noConversion"/>
  </si>
  <si>
    <r>
      <rPr>
        <sz val="11"/>
        <color theme="1"/>
        <rFont val="細明體"/>
        <family val="3"/>
        <charset val="136"/>
      </rPr>
      <t>直接貨幣</t>
    </r>
    <r>
      <rPr>
        <sz val="11"/>
        <color theme="1"/>
        <rFont val="MS PGothic"/>
        <family val="2"/>
        <charset val="128"/>
      </rPr>
      <t>：(</t>
    </r>
    <r>
      <rPr>
        <sz val="11"/>
        <color rgb="FF000000"/>
        <rFont val="細明體"/>
        <family val="3"/>
        <charset val="136"/>
      </rPr>
      <t>單位</t>
    </r>
    <r>
      <rPr>
        <sz val="11"/>
        <color rgb="FF000000"/>
        <rFont val="MS PGothic"/>
        <family val="2"/>
        <charset val="128"/>
      </rPr>
      <t>∗100000)/槓桿倍數</t>
    </r>
    <phoneticPr fontId="1" type="noConversion"/>
  </si>
  <si>
    <r>
      <t>交叉貨幣(計價貨幣為間接報價)：
  (</t>
    </r>
    <r>
      <rPr>
        <sz val="11"/>
        <color rgb="FF000000"/>
        <rFont val="MS PGothic"/>
        <family val="2"/>
        <charset val="128"/>
      </rPr>
      <t>單位∗100000)/槓桿倍數×YYYUSD匯率</t>
    </r>
    <phoneticPr fontId="1" type="noConversion"/>
  </si>
  <si>
    <t>商品貨幣</t>
    <phoneticPr fontId="1" type="noConversion"/>
  </si>
  <si>
    <t>計價貨幣</t>
    <phoneticPr fontId="1" type="noConversion"/>
  </si>
  <si>
    <r>
      <rPr>
        <sz val="11"/>
        <color theme="1"/>
        <rFont val="細明體"/>
        <family val="3"/>
        <charset val="136"/>
      </rPr>
      <t>貨幣對中</t>
    </r>
    <r>
      <rPr>
        <sz val="11"/>
        <color theme="1"/>
        <rFont val="MS PGothic"/>
        <family val="2"/>
        <charset val="128"/>
      </rPr>
      <t>,</t>
    </r>
    <r>
      <rPr>
        <sz val="11"/>
        <color theme="1"/>
        <rFont val="細明體"/>
        <family val="3"/>
        <charset val="136"/>
      </rPr>
      <t>擺在前面的貨幣</t>
    </r>
    <phoneticPr fontId="1" type="noConversion"/>
  </si>
  <si>
    <t>貨幣對中,擺在後面的貨幣</t>
    <phoneticPr fontId="1" type="noConversion"/>
  </si>
  <si>
    <t>槓桿倍數為40倍～100倍，假如購買一手100,000的EURUSD,槓桿設置40倍,意旨可以使2,500的保證金購買一手歐元</t>
    <phoneticPr fontId="1" type="noConversion"/>
  </si>
  <si>
    <t>進場操作時的價格</t>
    <phoneticPr fontId="1" type="noConversion"/>
  </si>
  <si>
    <t>損益會隨著市場的價格變化而變動</t>
    <phoneticPr fontId="1" type="noConversion"/>
  </si>
  <si>
    <t>間接貨幣：(賣出or買入價-成本價)*手數*100,000</t>
    <phoneticPr fontId="1" type="noConversion"/>
  </si>
  <si>
    <r>
      <t>直接貨幣：(賣出or買入價-成本價)*手數*100,000
             ÷</t>
    </r>
    <r>
      <rPr>
        <sz val="11"/>
        <color theme="1"/>
        <rFont val="細明體"/>
        <family val="3"/>
        <charset val="136"/>
      </rPr>
      <t>換成</t>
    </r>
    <r>
      <rPr>
        <sz val="11"/>
        <color theme="1"/>
        <rFont val="MS PGothic"/>
        <family val="2"/>
        <charset val="128"/>
      </rPr>
      <t>USD匯率</t>
    </r>
    <phoneticPr fontId="1" type="noConversion"/>
  </si>
  <si>
    <t>隔夜利息試算</t>
    <phoneticPr fontId="1" type="noConversion"/>
  </si>
  <si>
    <t>進場時間</t>
    <phoneticPr fontId="1" type="noConversion"/>
  </si>
  <si>
    <t>日期</t>
    <phoneticPr fontId="1" type="noConversion"/>
  </si>
  <si>
    <t>持有部位的日期與時間</t>
    <phoneticPr fontId="1" type="noConversion"/>
  </si>
  <si>
    <r>
      <rPr>
        <sz val="11"/>
        <color theme="1"/>
        <rFont val="細明體"/>
        <family val="3"/>
        <charset val="136"/>
      </rPr>
      <t>出</t>
    </r>
    <r>
      <rPr>
        <sz val="11"/>
        <color theme="1"/>
        <rFont val="MS PGothic"/>
        <family val="2"/>
        <charset val="128"/>
      </rPr>
      <t>場時間</t>
    </r>
    <phoneticPr fontId="1" type="noConversion"/>
  </si>
  <si>
    <t>開始持有部位的日期與時間</t>
    <phoneticPr fontId="1" type="noConversion"/>
  </si>
  <si>
    <t>需要保證金</t>
    <phoneticPr fontId="1" type="noConversion"/>
  </si>
  <si>
    <t>保證金試算</t>
    <phoneticPr fontId="1" type="noConversion"/>
  </si>
  <si>
    <t>算保證金需要考量商品貨幣與美金的匯率</t>
    <phoneticPr fontId="1" type="noConversion"/>
  </si>
  <si>
    <r>
      <t>將</t>
    </r>
    <r>
      <rPr>
        <sz val="11"/>
        <color theme="1"/>
        <rFont val="細明體"/>
        <family val="3"/>
        <charset val="136"/>
      </rPr>
      <t>需要保證金</t>
    </r>
    <r>
      <rPr>
        <sz val="11"/>
        <color theme="1"/>
        <rFont val="MS PGothic"/>
        <family val="2"/>
        <charset val="128"/>
      </rPr>
      <t>換成台幣</t>
    </r>
    <phoneticPr fontId="1" type="noConversion"/>
  </si>
  <si>
    <t>美元匯率</t>
    <phoneticPr fontId="1" type="noConversion"/>
  </si>
  <si>
    <t>商品貨幣與美金的匯率</t>
    <phoneticPr fontId="1" type="noConversion"/>
  </si>
  <si>
    <t>美元</t>
    <phoneticPr fontId="1" type="noConversion"/>
  </si>
  <si>
    <t>用來以某個價格進場與出場來計算預期損益</t>
    <phoneticPr fontId="1" type="noConversion"/>
  </si>
  <si>
    <t>注意：直接貨幣與交叉貨幣試算的損益是使用按下按鈕當下的兌美元匯率換成美元</t>
    <phoneticPr fontId="1" type="noConversion"/>
  </si>
  <si>
    <r>
      <t>交叉貨幣(計價貨幣為直接報價)：
  (賣出or買入價-成本價)*手數*100,000÷</t>
    </r>
    <r>
      <rPr>
        <sz val="11"/>
        <color theme="1"/>
        <rFont val="細明體"/>
        <family val="3"/>
        <charset val="136"/>
      </rPr>
      <t>換成</t>
    </r>
    <r>
      <rPr>
        <sz val="11"/>
        <color theme="1"/>
        <rFont val="MS PGothic"/>
        <family val="2"/>
        <charset val="128"/>
      </rPr>
      <t>USD匯率
交叉貨幣(計價貨幣為</t>
    </r>
    <r>
      <rPr>
        <sz val="11"/>
        <color theme="1"/>
        <rFont val="細明體"/>
        <family val="3"/>
        <charset val="136"/>
      </rPr>
      <t>間接報</t>
    </r>
    <r>
      <rPr>
        <sz val="11"/>
        <color theme="1"/>
        <rFont val="MS PGothic"/>
        <family val="2"/>
        <charset val="128"/>
      </rPr>
      <t>價)：
  (賣出or買入價-成本價)*手數*100,000×換成USD匯率</t>
    </r>
    <phoneticPr fontId="1" type="noConversion"/>
  </si>
  <si>
    <t>浮動損益試算</t>
    <phoneticPr fontId="1" type="noConversion"/>
  </si>
  <si>
    <t>預期損益試算</t>
    <phoneticPr fontId="1" type="noConversion"/>
  </si>
  <si>
    <t>USDCNH</t>
  </si>
  <si>
    <t>手數</t>
    <phoneticPr fontId="1" type="noConversion"/>
  </si>
  <si>
    <t>CNH</t>
    <phoneticPr fontId="1" type="noConversion"/>
  </si>
  <si>
    <t>EUR</t>
    <phoneticPr fontId="1" type="noConversion"/>
  </si>
  <si>
    <t>AUD</t>
    <phoneticPr fontId="1" type="noConversion"/>
  </si>
  <si>
    <t>GBP</t>
    <phoneticPr fontId="1" type="noConversion"/>
  </si>
  <si>
    <t>NZD</t>
    <phoneticPr fontId="1" type="noConversion"/>
  </si>
  <si>
    <t>JPY</t>
    <phoneticPr fontId="1" type="noConversion"/>
  </si>
  <si>
    <t>CAD</t>
    <phoneticPr fontId="1" type="noConversion"/>
  </si>
  <si>
    <t>持有貨幣</t>
    <phoneticPr fontId="1" type="noConversion"/>
  </si>
  <si>
    <t>USD</t>
    <phoneticPr fontId="1" type="noConversion"/>
  </si>
  <si>
    <t>EURUSD</t>
  </si>
  <si>
    <t>AUDUSD</t>
  </si>
  <si>
    <t>GBPUSD</t>
  </si>
  <si>
    <t>NZDUSD</t>
  </si>
  <si>
    <t>USDJPY</t>
  </si>
  <si>
    <t>USDCAD</t>
  </si>
  <si>
    <t>金額</t>
    <phoneticPr fontId="1" type="noConversion"/>
  </si>
  <si>
    <t>種類</t>
    <phoneticPr fontId="1" type="noConversion"/>
  </si>
  <si>
    <t>經濟日曆</t>
  </si>
  <si>
    <t>時間日期</t>
  </si>
  <si>
    <t>國家</t>
  </si>
  <si>
    <t>事件</t>
  </si>
  <si>
    <t>觀察月份</t>
  </si>
  <si>
    <t>重要性</t>
  </si>
  <si>
    <t>實際值</t>
  </si>
  <si>
    <t>調查值</t>
  </si>
  <si>
    <t>前值</t>
  </si>
  <si>
    <t>2017/08/01 22:00:00</t>
  </si>
  <si>
    <t>美國</t>
  </si>
  <si>
    <t>Jul</t>
  </si>
  <si>
    <t>2017/08/01 20:30:00</t>
  </si>
  <si>
    <t>Jun</t>
  </si>
  <si>
    <t>2017/08/02 20:15:00</t>
  </si>
  <si>
    <t>2017/08/03 20:30:00</t>
  </si>
  <si>
    <t>Jul 22</t>
  </si>
  <si>
    <t>2017/07/31 21:45:00</t>
  </si>
  <si>
    <t>2017/09/21 02:00:00</t>
  </si>
  <si>
    <t>Sep 20</t>
  </si>
  <si>
    <t>2017/08/04 20:30:00</t>
  </si>
  <si>
    <t>非農業就業人口變動(千人)</t>
  </si>
  <si>
    <t>2017/08/15 20:30:00</t>
  </si>
  <si>
    <t>零售銷售(不含汽車及汽油)</t>
  </si>
  <si>
    <t>-</t>
  </si>
  <si>
    <t>零售銷售額(不含汽車)</t>
  </si>
  <si>
    <t>2017/08/10 20:30:00</t>
  </si>
  <si>
    <t>2017/07/28 22:00:00</t>
  </si>
  <si>
    <t>Jul F</t>
  </si>
  <si>
    <t>2017/08/11 20:30:00</t>
  </si>
  <si>
    <t>2017/08/22 20:30:00</t>
  </si>
  <si>
    <t>零售銷售不含汽車</t>
  </si>
  <si>
    <t>2017/07/28 20:30:00</t>
  </si>
  <si>
    <t>加拿大</t>
  </si>
  <si>
    <t>GDP MoM</t>
  </si>
  <si>
    <t>May</t>
  </si>
  <si>
    <t>2017/08/01 21:30:00</t>
  </si>
  <si>
    <t>matkit製造頁採購經理任指數</t>
  </si>
  <si>
    <t>2017/08/18 20:30:00</t>
  </si>
  <si>
    <t>國內生產毛額(年比)</t>
  </si>
  <si>
    <t>2017/09/06 22:00:00</t>
  </si>
  <si>
    <t>央行利率決議</t>
  </si>
  <si>
    <t>Sep 6</t>
  </si>
  <si>
    <t>零售銷售</t>
  </si>
  <si>
    <t>2017/08/29 07:30:00</t>
  </si>
  <si>
    <t>日本</t>
  </si>
  <si>
    <t>2017/08/25 07:30:00</t>
  </si>
  <si>
    <t>CPI-生鮮</t>
  </si>
  <si>
    <t>2017/08/17 07:50:00</t>
  </si>
  <si>
    <t>2017/08/09 14:00:00</t>
  </si>
  <si>
    <t>工具機訂單(月比)</t>
  </si>
  <si>
    <t>Jul P</t>
  </si>
  <si>
    <t>2017/08/14 07:50:00</t>
  </si>
  <si>
    <t>國內生產毛額 季調(季比)</t>
  </si>
  <si>
    <t>2Q P</t>
  </si>
  <si>
    <t>2017/09/21</t>
  </si>
  <si>
    <t>BOJ</t>
  </si>
  <si>
    <t>Sep 21</t>
  </si>
  <si>
    <t>2017/08/30 07:50:00</t>
  </si>
  <si>
    <t>零售銷售年比</t>
  </si>
  <si>
    <t>東京消費者物價至數YOY</t>
  </si>
  <si>
    <t>東京消費者物價指數(扣除生鮮)</t>
  </si>
  <si>
    <t>零售銷售月比</t>
  </si>
  <si>
    <t>BOJ政策餘額利率</t>
  </si>
  <si>
    <t>BOJ十年目標殖利率</t>
  </si>
  <si>
    <t>2017/08/01 08:30:00</t>
  </si>
  <si>
    <t>日經日本製造業採購經理人指數</t>
  </si>
  <si>
    <t>2017/07/31 09:00:00</t>
  </si>
  <si>
    <t>中國</t>
  </si>
  <si>
    <t>製造業採購經理人指數</t>
  </si>
  <si>
    <t>2017/08/01 09:45:00</t>
  </si>
  <si>
    <t>匯豐HSBC製造業採購經理人指數(初值)</t>
  </si>
  <si>
    <t>2017/08/08</t>
  </si>
  <si>
    <t>出口年比</t>
  </si>
  <si>
    <t>2017/08/14 10:00:00</t>
  </si>
  <si>
    <t>2017/08/09 09:30:00</t>
  </si>
  <si>
    <t>PPI年比</t>
  </si>
  <si>
    <t>CPI年比</t>
  </si>
  <si>
    <t>2017/10/19 10:00:00</t>
  </si>
  <si>
    <t>GDP年比</t>
  </si>
  <si>
    <t>3Q</t>
  </si>
  <si>
    <t>GDP季調季比</t>
  </si>
  <si>
    <t>2017/08/17 09:30:00</t>
  </si>
  <si>
    <t>澳洲</t>
  </si>
  <si>
    <t>2017/10/27 08:30:00</t>
  </si>
  <si>
    <t>PPI季比</t>
  </si>
  <si>
    <t>2Q</t>
  </si>
  <si>
    <t>2017/10/25 08:30:00</t>
  </si>
  <si>
    <t>CPI季比</t>
  </si>
  <si>
    <t>2017/08/03 09:30:00</t>
  </si>
  <si>
    <t>2017/08/04 09:30:00</t>
  </si>
  <si>
    <t>零售銷售越比</t>
  </si>
  <si>
    <t>2017/09/06 09:30:00</t>
  </si>
  <si>
    <t>2017/08/01 12:30:00</t>
  </si>
  <si>
    <t>現金利率目標</t>
  </si>
  <si>
    <t>Aug 1</t>
  </si>
  <si>
    <t>2017/08/01 14:30:00</t>
  </si>
  <si>
    <t>商品指數SDR</t>
  </si>
  <si>
    <t>2017/10/17 05:45:00</t>
  </si>
  <si>
    <t>紐西蘭</t>
  </si>
  <si>
    <t>2017/08/02 06:45:00</t>
  </si>
  <si>
    <t>2017/08/10 05:00:00</t>
  </si>
  <si>
    <t>央行正是現金利率</t>
  </si>
  <si>
    <t>Aug 10</t>
  </si>
  <si>
    <t>2017/08/24 06:45:00</t>
  </si>
  <si>
    <t>2017/08/11 06:30:00</t>
  </si>
  <si>
    <t>BUSINESSNZ採購經理人指數</t>
  </si>
  <si>
    <t>2017/09/21 06:45:00</t>
  </si>
  <si>
    <t>2017/08/03 19:00:00</t>
  </si>
  <si>
    <t>英國</t>
  </si>
  <si>
    <t>EOB利率</t>
  </si>
  <si>
    <t>Aug 3</t>
  </si>
  <si>
    <t>2017/08/24 16:30:00</t>
  </si>
  <si>
    <t>GDP季比</t>
  </si>
  <si>
    <t>2017/08/15 16:30:00</t>
  </si>
  <si>
    <t>CPI月比</t>
  </si>
  <si>
    <t>核心CPI</t>
  </si>
  <si>
    <t>零售銷售指數</t>
  </si>
  <si>
    <t>2017/08/01 17:00:00</t>
  </si>
  <si>
    <t>歐元區</t>
  </si>
  <si>
    <t>2Q A</t>
  </si>
  <si>
    <t>2017/07/31 17:00:00</t>
  </si>
  <si>
    <t>Jul A</t>
  </si>
  <si>
    <t>2017/08/17 17:00:00</t>
  </si>
  <si>
    <t>2017/09/07 19:45:00</t>
  </si>
  <si>
    <t>Sep 7</t>
  </si>
  <si>
    <t>2017/07/28 17:00:00</t>
  </si>
  <si>
    <t>ECB主要在融資利率</t>
  </si>
  <si>
    <t>ECB Maginal lending facility</t>
  </si>
  <si>
    <t>ECB存款授信額度利率</t>
  </si>
  <si>
    <t>2017/08/01 16:00:00</t>
  </si>
  <si>
    <t>MARKIT製造業</t>
  </si>
  <si>
    <t>2017/07/28 20:00:00</t>
  </si>
  <si>
    <t>德國</t>
  </si>
  <si>
    <t>2017/08/15 14:00:00</t>
  </si>
  <si>
    <t>國內生產毛額未經季調(年比)</t>
  </si>
  <si>
    <t>國內生產毛額經季調(季比)</t>
  </si>
  <si>
    <t>國內生產毛額經季調(年比)</t>
  </si>
  <si>
    <t>2017/07/31 2017/08/03</t>
  </si>
  <si>
    <t>2017/08/01 15:55:00</t>
  </si>
  <si>
    <t>MARKIT製造業採購經理人</t>
  </si>
  <si>
    <t>GDP WDA 年比</t>
  </si>
  <si>
    <t>買價</t>
  </si>
  <si>
    <t>損益試算</t>
    <phoneticPr fontId="1" type="noConversion"/>
  </si>
  <si>
    <t>持有貨幣</t>
    <phoneticPr fontId="1" type="noConversion"/>
  </si>
  <si>
    <t>商品貨幣</t>
    <phoneticPr fontId="1" type="noConversion"/>
  </si>
  <si>
    <t>單位：計價貨幣</t>
    <phoneticPr fontId="1" type="noConversion"/>
  </si>
  <si>
    <t>單位：美元</t>
    <phoneticPr fontId="1" type="noConversion"/>
  </si>
  <si>
    <t>元</t>
    <phoneticPr fontId="1" type="noConversion"/>
  </si>
  <si>
    <t>AUDJPY</t>
    <phoneticPr fontId="1" type="noConversion"/>
  </si>
  <si>
    <t>比例</t>
    <phoneticPr fontId="1" type="noConversion"/>
  </si>
  <si>
    <t>持有貨幣種類</t>
    <phoneticPr fontId="1" type="noConversion"/>
  </si>
  <si>
    <r>
      <t>*</t>
    </r>
    <r>
      <rPr>
        <sz val="6"/>
        <color theme="1"/>
        <rFont val="細明體"/>
        <family val="3"/>
        <charset val="136"/>
      </rPr>
      <t>僅供參考</t>
    </r>
    <phoneticPr fontId="1" type="noConversion"/>
  </si>
  <si>
    <t>避險對象</t>
    <phoneticPr fontId="1" type="noConversion"/>
  </si>
  <si>
    <t>簡單避險計算</t>
    <phoneticPr fontId="1" type="noConversion"/>
  </si>
  <si>
    <t>USD</t>
  </si>
  <si>
    <r>
      <t>星期</t>
    </r>
    <r>
      <rPr>
        <sz val="6"/>
        <color theme="0"/>
        <rFont val="細明體"/>
        <family val="3"/>
        <charset val="136"/>
      </rPr>
      <t>四</t>
    </r>
    <phoneticPr fontId="1" type="noConversion"/>
  </si>
  <si>
    <t>手數計算</t>
    <phoneticPr fontId="1" type="noConversion"/>
  </si>
  <si>
    <t>報價</t>
    <phoneticPr fontId="1" type="noConversion"/>
  </si>
  <si>
    <r>
      <t>市</t>
    </r>
    <r>
      <rPr>
        <sz val="11"/>
        <color theme="0"/>
        <rFont val="細明體"/>
        <family val="3"/>
        <charset val="136"/>
      </rPr>
      <t>值</t>
    </r>
    <phoneticPr fontId="1" type="noConversion"/>
  </si>
  <si>
    <t>手</t>
    <phoneticPr fontId="1" type="noConversion"/>
  </si>
  <si>
    <t>NZDUSD</t>
    <phoneticPr fontId="1" type="noConversion"/>
  </si>
  <si>
    <t>進場成本</t>
    <phoneticPr fontId="1" type="noConversion"/>
  </si>
  <si>
    <r>
      <rPr>
        <sz val="11"/>
        <color theme="0"/>
        <rFont val="細明體"/>
        <family val="3"/>
        <charset val="136"/>
      </rPr>
      <t>浮動</t>
    </r>
    <r>
      <rPr>
        <sz val="11"/>
        <color theme="0"/>
        <rFont val="MS PGothic"/>
        <family val="2"/>
        <charset val="128"/>
      </rPr>
      <t>損益</t>
    </r>
    <phoneticPr fontId="1" type="noConversion"/>
  </si>
  <si>
    <t>利息試算</t>
    <phoneticPr fontId="1" type="noConversion"/>
  </si>
  <si>
    <t>單位</t>
    <phoneticPr fontId="1" type="noConversion"/>
  </si>
  <si>
    <t>出場價格</t>
    <phoneticPr fontId="1" type="noConversion"/>
  </si>
  <si>
    <t>進場日期</t>
    <phoneticPr fontId="1" type="noConversion"/>
  </si>
  <si>
    <t>時間</t>
    <phoneticPr fontId="1" type="noConversion"/>
  </si>
  <si>
    <t>24h</t>
    <phoneticPr fontId="1" type="noConversion"/>
  </si>
  <si>
    <r>
      <t>平倉</t>
    </r>
    <r>
      <rPr>
        <sz val="11"/>
        <color theme="0"/>
        <rFont val="細明體"/>
        <family val="3"/>
        <charset val="136"/>
      </rPr>
      <t>日期</t>
    </r>
    <phoneticPr fontId="1" type="noConversion"/>
  </si>
  <si>
    <t>GBPJPY</t>
    <phoneticPr fontId="1" type="noConversion"/>
  </si>
  <si>
    <t>實際天數</t>
    <phoneticPr fontId="1" type="noConversion"/>
  </si>
  <si>
    <t>總計息日</t>
    <phoneticPr fontId="1" type="noConversion"/>
  </si>
  <si>
    <r>
      <rPr>
        <sz val="11"/>
        <rFont val="細明體"/>
        <family val="3"/>
        <charset val="136"/>
      </rPr>
      <t>需要</t>
    </r>
    <r>
      <rPr>
        <sz val="11"/>
        <rFont val="MS PGothic"/>
        <family val="2"/>
        <charset val="128"/>
      </rPr>
      <t>保證金</t>
    </r>
    <phoneticPr fontId="1" type="noConversion"/>
  </si>
  <si>
    <r>
      <rPr>
        <sz val="11"/>
        <rFont val="細明體"/>
        <family val="3"/>
        <charset val="136"/>
      </rPr>
      <t>進場</t>
    </r>
    <r>
      <rPr>
        <sz val="11"/>
        <rFont val="MS PGothic"/>
        <family val="2"/>
        <charset val="128"/>
      </rPr>
      <t>價格</t>
    </r>
    <phoneticPr fontId="1" type="noConversion"/>
  </si>
  <si>
    <t>美元</t>
    <phoneticPr fontId="1" type="noConversion"/>
  </si>
  <si>
    <t>避險比例</t>
    <phoneticPr fontId="1" type="noConversion"/>
  </si>
  <si>
    <t>EURCAD</t>
    <phoneticPr fontId="1" type="noConversion"/>
  </si>
  <si>
    <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</si>
</sst>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 #,##0.00_-;_-* &quot;-&quot;??_-;_-@_-"/>
    <numFmt numFmtId="176" formatCode="0.000%"/>
    <numFmt numFmtId="177" formatCode="[$-404]aaaa;@"/>
    <numFmt numFmtId="178" formatCode="0.00000"/>
    <numFmt numFmtId="179" formatCode="h:mm;@"/>
    <numFmt numFmtId="180" formatCode="0.000"/>
    <numFmt numFmtId="181" formatCode="0.00_);[Red]\(0.00\)"/>
    <numFmt numFmtId="182" formatCode="_-* #,##0_-;\-* #,##0_-;_-* &quot;-&quot;??_-;_-@_-"/>
    <numFmt numFmtId="183" formatCode="0.000000_);[Red]\(0.000000\)"/>
    <numFmt numFmtId="184" formatCode="0.0000000_);[Red]\(0.0000000\)"/>
  </numFmts>
  <fonts count="46" x14ac:knownFonts="1">
    <font>
      <sz val="12"/>
      <color theme="1"/>
      <name val="新細明體"/>
      <family val="2"/>
      <charset val="136"/>
      <scheme val="minor"/>
    </font>
    <font>
      <sz val="9"/>
      <name val="新細明體"/>
      <family val="2"/>
      <charset val="136"/>
      <scheme val="minor"/>
    </font>
    <font>
      <sz val="12"/>
      <color theme="1"/>
      <name val="Arial"/>
      <family val="2"/>
    </font>
    <font>
      <sz val="12"/>
      <color theme="1"/>
      <name val="MS PGothic"/>
      <family val="2"/>
      <charset val="128"/>
    </font>
    <font>
      <sz val="11"/>
      <color theme="1"/>
      <name val="MS PGothic"/>
      <family val="2"/>
      <charset val="128"/>
    </font>
    <font>
      <sz val="11"/>
      <color theme="1"/>
      <name val="Arial"/>
      <family val="2"/>
    </font>
    <font>
      <sz val="11"/>
      <color theme="4"/>
      <name val="MS PGothic"/>
      <family val="2"/>
      <charset val="128"/>
    </font>
    <font>
      <sz val="11"/>
      <color theme="4"/>
      <name val="Arial"/>
      <family val="2"/>
    </font>
    <font>
      <sz val="11"/>
      <color theme="1"/>
      <name val="細明體"/>
      <family val="3"/>
      <charset val="136"/>
    </font>
    <font>
      <sz val="12"/>
      <color theme="1"/>
      <name val="細明體"/>
      <family val="3"/>
      <charset val="136"/>
    </font>
    <font>
      <sz val="12"/>
      <color theme="1"/>
      <name val="新細明體"/>
      <family val="2"/>
      <charset val="136"/>
      <scheme val="minor"/>
    </font>
    <font>
      <sz val="8"/>
      <color rgb="FF222222"/>
      <name val="微軟正黑體"/>
      <family val="2"/>
      <charset val="136"/>
    </font>
    <font>
      <b/>
      <sz val="11"/>
      <color theme="1"/>
      <name val="Arial"/>
      <family val="2"/>
    </font>
    <font>
      <b/>
      <sz val="11"/>
      <name val="Arial"/>
      <family val="2"/>
    </font>
    <font>
      <b/>
      <sz val="12"/>
      <color theme="1"/>
      <name val="Arial"/>
      <family val="2"/>
    </font>
    <font>
      <sz val="11"/>
      <color rgb="FF000000"/>
      <name val="細明體"/>
      <family val="3"/>
      <charset val="136"/>
    </font>
    <font>
      <sz val="11"/>
      <color rgb="FF000000"/>
      <name val="MS PGothic"/>
      <family val="2"/>
      <charset val="128"/>
    </font>
    <font>
      <sz val="12"/>
      <color theme="4" tint="-0.249977111117893"/>
      <name val="Arial"/>
      <family val="2"/>
    </font>
    <font>
      <sz val="11"/>
      <name val="Arial"/>
      <family val="2"/>
    </font>
    <font>
      <sz val="12"/>
      <name val="新細明體"/>
      <family val="1"/>
      <charset val="136"/>
    </font>
    <font>
      <sz val="9"/>
      <name val="新細明體"/>
      <family val="1"/>
      <charset val="136"/>
    </font>
    <font>
      <sz val="12"/>
      <name val="微軟正黑體"/>
      <family val="2"/>
      <charset val="136"/>
    </font>
    <font>
      <sz val="12"/>
      <color theme="1"/>
      <name val="新細明體"/>
      <family val="2"/>
      <charset val="136"/>
    </font>
    <font>
      <sz val="12"/>
      <name val="MS PGothic"/>
      <family val="2"/>
      <charset val="128"/>
    </font>
    <font>
      <sz val="12"/>
      <name val="Arial"/>
      <family val="2"/>
    </font>
    <font>
      <sz val="12"/>
      <color theme="4"/>
      <name val="Arial"/>
      <family val="2"/>
    </font>
    <font>
      <b/>
      <sz val="12"/>
      <color theme="1"/>
      <name val="MS PGothic"/>
      <family val="2"/>
      <charset val="128"/>
    </font>
    <font>
      <b/>
      <sz val="12"/>
      <color theme="1"/>
      <name val="新細明體"/>
      <family val="2"/>
      <charset val="136"/>
    </font>
    <font>
      <sz val="12"/>
      <name val="細明體"/>
      <family val="3"/>
      <charset val="136"/>
    </font>
    <font>
      <sz val="12"/>
      <name val="新細明體"/>
      <family val="2"/>
      <charset val="136"/>
      <scheme val="minor"/>
    </font>
    <font>
      <sz val="8"/>
      <color theme="1"/>
      <name val="MS PGothic"/>
      <family val="2"/>
      <charset val="128"/>
    </font>
    <font>
      <sz val="6"/>
      <color theme="1"/>
      <name val="Arial"/>
      <family val="2"/>
    </font>
    <font>
      <sz val="10"/>
      <color theme="1"/>
      <name val="新細明體"/>
      <family val="2"/>
      <charset val="136"/>
      <scheme val="minor"/>
    </font>
    <font>
      <sz val="10"/>
      <color theme="1"/>
      <name val="MS PGothic"/>
      <family val="2"/>
      <charset val="128"/>
    </font>
    <font>
      <sz val="10"/>
      <color theme="1"/>
      <name val="Arial"/>
      <family val="2"/>
    </font>
    <font>
      <b/>
      <sz val="12"/>
      <color theme="1"/>
      <name val="新細明體"/>
      <family val="1"/>
      <charset val="136"/>
      <scheme val="minor"/>
    </font>
    <font>
      <sz val="6"/>
      <color theme="1"/>
      <name val="MS PGothic"/>
      <family val="2"/>
      <charset val="128"/>
    </font>
    <font>
      <sz val="6"/>
      <color theme="1"/>
      <name val="細明體"/>
      <family val="3"/>
      <charset val="136"/>
    </font>
    <font>
      <sz val="11"/>
      <color theme="4" tint="0.39997558519241921"/>
      <name val="Arial"/>
      <family val="2"/>
    </font>
    <font>
      <sz val="6"/>
      <color theme="1"/>
      <name val="新細明體"/>
      <family val="2"/>
      <charset val="136"/>
      <scheme val="minor"/>
    </font>
    <font>
      <sz val="8"/>
      <color theme="1"/>
      <name val="Arial"/>
      <family val="2"/>
    </font>
    <font>
      <sz val="11"/>
      <name val="MS PGothic"/>
      <family val="2"/>
      <charset val="128"/>
    </font>
    <font>
      <sz val="11"/>
      <name val="細明體"/>
      <family val="3"/>
      <charset val="136"/>
    </font>
    <font>
      <sz val="11"/>
      <color theme="0"/>
      <name val="MS PGothic"/>
      <family val="2"/>
      <charset val="128"/>
    </font>
    <font>
      <sz val="6"/>
      <color theme="0"/>
      <name val="細明體"/>
      <family val="3"/>
      <charset val="136"/>
    </font>
    <font>
      <sz val="11"/>
      <color theme="0"/>
      <name val="細明體"/>
      <family val="3"/>
      <charset val="136"/>
    </font>
  </fonts>
  <fills count="12">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59999389629810485"/>
        <bgColor indexed="64"/>
      </patternFill>
    </fill>
  </fills>
  <borders count="29">
    <border>
      <left/>
      <right/>
      <top/>
      <bottom/>
      <diagonal/>
    </border>
    <border>
      <left/>
      <right/>
      <top style="medium">
        <color indexed="64"/>
      </top>
      <bottom/>
      <diagonal/>
    </border>
    <border>
      <left/>
      <right/>
      <top style="dotted">
        <color auto="1"/>
      </top>
      <bottom style="dotted">
        <color auto="1"/>
      </bottom>
      <diagonal/>
    </border>
    <border>
      <left/>
      <right/>
      <top style="dotted">
        <color indexed="64"/>
      </top>
      <bottom style="medium">
        <color indexed="64"/>
      </bottom>
      <diagonal/>
    </border>
    <border>
      <left/>
      <right/>
      <top/>
      <bottom style="dotted">
        <color auto="1"/>
      </bottom>
      <diagonal/>
    </border>
    <border>
      <left/>
      <right/>
      <top/>
      <bottom style="medium">
        <color indexed="64"/>
      </bottom>
      <diagonal/>
    </border>
    <border>
      <left/>
      <right/>
      <top style="dotted">
        <color auto="1"/>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double">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auto="1"/>
      </bottom>
      <diagonal/>
    </border>
    <border>
      <left/>
      <right style="thin">
        <color indexed="64"/>
      </right>
      <top/>
      <bottom style="dotted">
        <color auto="1"/>
      </bottom>
      <diagonal/>
    </border>
    <border>
      <left style="thin">
        <color indexed="64"/>
      </left>
      <right/>
      <top style="dotted">
        <color auto="1"/>
      </top>
      <bottom style="dotted">
        <color auto="1"/>
      </bottom>
      <diagonal/>
    </border>
    <border>
      <left/>
      <right style="thin">
        <color indexed="64"/>
      </right>
      <top style="dotted">
        <color auto="1"/>
      </top>
      <bottom style="dotted">
        <color auto="1"/>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auto="1"/>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4">
    <xf numFmtId="0" fontId="0" fillId="0" borderId="0">
      <alignment vertical="center"/>
    </xf>
    <xf numFmtId="9" fontId="10" fillId="0" borderId="0" applyFont="0" applyFill="0" applyBorder="0" applyAlignment="0" applyProtection="0">
      <alignment vertical="center"/>
    </xf>
    <xf numFmtId="0" fontId="19" fillId="0" borderId="0">
      <alignment vertical="center"/>
    </xf>
    <xf numFmtId="43" fontId="10" fillId="0" borderId="0" applyFont="0" applyFill="0" applyBorder="0" applyAlignment="0" applyProtection="0">
      <alignment vertical="center"/>
    </xf>
  </cellStyleXfs>
  <cellXfs count="241">
    <xf numFmtId="0" fontId="0" fillId="0" borderId="0" xfId="0">
      <alignment vertical="center"/>
    </xf>
    <xf numFmtId="0" fontId="2" fillId="2" borderId="0" xfId="0" applyFont="1" applyFill="1">
      <alignment vertical="center"/>
    </xf>
    <xf numFmtId="0" fontId="3" fillId="2" borderId="0" xfId="0" applyFont="1" applyFill="1">
      <alignment vertical="center"/>
    </xf>
    <xf numFmtId="0" fontId="5" fillId="2" borderId="1" xfId="0" applyFont="1" applyFill="1" applyBorder="1">
      <alignment vertical="center"/>
    </xf>
    <xf numFmtId="0" fontId="5" fillId="2" borderId="0" xfId="0" applyFont="1" applyFill="1">
      <alignment vertical="center"/>
    </xf>
    <xf numFmtId="0" fontId="5" fillId="2" borderId="4" xfId="0" applyFont="1" applyFill="1" applyBorder="1">
      <alignment vertical="center"/>
    </xf>
    <xf numFmtId="0" fontId="4" fillId="2" borderId="2" xfId="0" applyFont="1" applyFill="1" applyBorder="1" applyAlignment="1">
      <alignment horizontal="right" vertical="center"/>
    </xf>
    <xf numFmtId="0" fontId="2" fillId="2" borderId="0" xfId="0" applyFont="1" applyFill="1" applyBorder="1">
      <alignment vertical="center"/>
    </xf>
    <xf numFmtId="0" fontId="5" fillId="3" borderId="2" xfId="0" applyFont="1" applyFill="1" applyBorder="1" applyAlignment="1">
      <alignment horizontal="left" vertical="center"/>
    </xf>
    <xf numFmtId="0" fontId="5" fillId="4" borderId="2" xfId="0" applyFont="1" applyFill="1" applyBorder="1" applyAlignment="1">
      <alignment horizontal="left" vertical="center"/>
    </xf>
    <xf numFmtId="0" fontId="5" fillId="5" borderId="2" xfId="0" applyFont="1" applyFill="1" applyBorder="1" applyAlignment="1">
      <alignment horizontal="left" vertical="center"/>
    </xf>
    <xf numFmtId="0" fontId="5" fillId="7" borderId="2" xfId="0" applyFont="1" applyFill="1" applyBorder="1" applyAlignment="1">
      <alignment horizontal="left" vertical="center"/>
    </xf>
    <xf numFmtId="0" fontId="5" fillId="8" borderId="2" xfId="0" applyFont="1" applyFill="1" applyBorder="1" applyAlignment="1">
      <alignment horizontal="left" vertical="center"/>
    </xf>
    <xf numFmtId="0" fontId="5" fillId="2" borderId="0" xfId="0" applyFont="1" applyFill="1" applyBorder="1">
      <alignment vertical="center"/>
    </xf>
    <xf numFmtId="0" fontId="4" fillId="2" borderId="4" xfId="0" applyFont="1" applyFill="1" applyBorder="1" applyAlignment="1">
      <alignment horizontal="right" vertical="center"/>
    </xf>
    <xf numFmtId="176" fontId="2" fillId="2" borderId="0" xfId="1" applyNumberFormat="1" applyFont="1" applyFill="1">
      <alignment vertical="center"/>
    </xf>
    <xf numFmtId="176" fontId="5" fillId="2" borderId="1" xfId="1" applyNumberFormat="1" applyFont="1" applyFill="1" applyBorder="1">
      <alignment vertical="center"/>
    </xf>
    <xf numFmtId="176" fontId="5" fillId="2" borderId="0" xfId="1" applyNumberFormat="1" applyFont="1" applyFill="1" applyBorder="1">
      <alignment vertical="center"/>
    </xf>
    <xf numFmtId="14" fontId="5" fillId="2" borderId="1" xfId="0" applyNumberFormat="1" applyFont="1" applyFill="1" applyBorder="1">
      <alignment vertical="center"/>
    </xf>
    <xf numFmtId="178" fontId="5" fillId="2" borderId="2" xfId="0" applyNumberFormat="1" applyFont="1" applyFill="1" applyBorder="1" applyAlignment="1">
      <alignment horizontal="right" vertical="center"/>
    </xf>
    <xf numFmtId="179" fontId="2" fillId="2" borderId="1" xfId="0" applyNumberFormat="1" applyFont="1" applyFill="1" applyBorder="1">
      <alignment vertical="center"/>
    </xf>
    <xf numFmtId="2" fontId="5" fillId="2" borderId="2" xfId="1" applyNumberFormat="1" applyFont="1" applyFill="1" applyBorder="1" applyAlignment="1">
      <alignment horizontal="right" vertical="center"/>
    </xf>
    <xf numFmtId="0" fontId="2" fillId="2" borderId="2" xfId="0" applyFont="1" applyFill="1" applyBorder="1" applyAlignment="1">
      <alignment horizontal="right" vertical="center"/>
    </xf>
    <xf numFmtId="0" fontId="2" fillId="2" borderId="3" xfId="0" applyFont="1" applyFill="1" applyBorder="1" applyAlignment="1">
      <alignment horizontal="right" vertical="center"/>
    </xf>
    <xf numFmtId="0" fontId="9" fillId="2" borderId="2" xfId="0" applyFont="1" applyFill="1" applyBorder="1">
      <alignment vertical="center"/>
    </xf>
    <xf numFmtId="0" fontId="9" fillId="2" borderId="3" xfId="0" applyFont="1" applyFill="1" applyBorder="1">
      <alignment vertical="center"/>
    </xf>
    <xf numFmtId="0" fontId="11" fillId="0" borderId="0" xfId="0" applyFont="1">
      <alignment vertical="center"/>
    </xf>
    <xf numFmtId="0" fontId="12" fillId="5" borderId="2" xfId="0" applyFont="1" applyFill="1" applyBorder="1" applyAlignment="1">
      <alignment horizontal="left" vertical="center"/>
    </xf>
    <xf numFmtId="0" fontId="12" fillId="7" borderId="2" xfId="0" applyFont="1" applyFill="1" applyBorder="1" applyAlignment="1">
      <alignment horizontal="left" vertical="center"/>
    </xf>
    <xf numFmtId="0" fontId="13" fillId="6" borderId="2" xfId="0" applyFont="1" applyFill="1" applyBorder="1" applyAlignment="1">
      <alignment horizontal="left" vertical="center"/>
    </xf>
    <xf numFmtId="0" fontId="12" fillId="8" borderId="2" xfId="0" applyFont="1" applyFill="1" applyBorder="1" applyAlignment="1">
      <alignment horizontal="left" vertical="center"/>
    </xf>
    <xf numFmtId="176" fontId="4" fillId="2" borderId="4" xfId="1" applyNumberFormat="1" applyFont="1" applyFill="1" applyBorder="1" applyAlignment="1">
      <alignment horizontal="right" vertical="center"/>
    </xf>
    <xf numFmtId="0" fontId="6" fillId="2" borderId="0" xfId="0" applyFont="1" applyFill="1" applyBorder="1" applyAlignment="1">
      <alignment horizontal="right" vertical="center"/>
    </xf>
    <xf numFmtId="0" fontId="7" fillId="2" borderId="0" xfId="0" applyFont="1" applyFill="1" applyBorder="1" applyAlignment="1">
      <alignment horizontal="right" vertical="center"/>
    </xf>
    <xf numFmtId="178" fontId="5" fillId="2" borderId="0" xfId="0" applyNumberFormat="1" applyFont="1" applyFill="1" applyBorder="1" applyAlignment="1">
      <alignment horizontal="right" vertical="center"/>
    </xf>
    <xf numFmtId="1" fontId="5" fillId="2" borderId="0" xfId="0" applyNumberFormat="1" applyFont="1" applyFill="1" applyBorder="1" applyAlignment="1">
      <alignment horizontal="right" vertical="center"/>
    </xf>
    <xf numFmtId="0" fontId="5" fillId="2" borderId="0" xfId="0" applyFont="1" applyFill="1" applyBorder="1" applyAlignment="1">
      <alignment horizontal="right" vertical="center"/>
    </xf>
    <xf numFmtId="0" fontId="2" fillId="2" borderId="0" xfId="0" applyFont="1" applyFill="1" applyBorder="1" applyAlignment="1">
      <alignment horizontal="right" vertical="center"/>
    </xf>
    <xf numFmtId="14" fontId="7" fillId="2" borderId="0" xfId="0" applyNumberFormat="1" applyFont="1" applyFill="1" applyBorder="1" applyAlignment="1">
      <alignment horizontal="right" vertical="center"/>
    </xf>
    <xf numFmtId="179" fontId="7" fillId="2" borderId="0" xfId="0" applyNumberFormat="1" applyFont="1" applyFill="1" applyBorder="1" applyAlignment="1">
      <alignment horizontal="right" vertical="center"/>
    </xf>
    <xf numFmtId="0" fontId="5" fillId="2" borderId="3" xfId="0" applyFont="1" applyFill="1" applyBorder="1" applyAlignment="1">
      <alignment horizontal="right" vertical="center"/>
    </xf>
    <xf numFmtId="0" fontId="2" fillId="2" borderId="4" xfId="0" applyFont="1" applyFill="1" applyBorder="1" applyAlignment="1">
      <alignment horizontal="right" vertical="center"/>
    </xf>
    <xf numFmtId="0" fontId="8" fillId="2" borderId="4" xfId="0" applyFont="1" applyFill="1" applyBorder="1" applyAlignment="1">
      <alignment horizontal="left" vertical="center"/>
    </xf>
    <xf numFmtId="0" fontId="9" fillId="2" borderId="4" xfId="0" applyFont="1" applyFill="1" applyBorder="1">
      <alignment vertical="center"/>
    </xf>
    <xf numFmtId="0" fontId="5" fillId="2" borderId="2" xfId="0" applyFont="1" applyFill="1" applyBorder="1" applyAlignment="1">
      <alignment horizontal="right" vertical="center"/>
    </xf>
    <xf numFmtId="176" fontId="2" fillId="2" borderId="7" xfId="1" applyNumberFormat="1" applyFont="1" applyFill="1" applyBorder="1">
      <alignment vertical="center"/>
    </xf>
    <xf numFmtId="177" fontId="4" fillId="2" borderId="1" xfId="0" applyNumberFormat="1" applyFont="1" applyFill="1" applyBorder="1">
      <alignment vertical="center"/>
    </xf>
    <xf numFmtId="0" fontId="0" fillId="2" borderId="1" xfId="0" applyFill="1" applyBorder="1">
      <alignment vertical="center"/>
    </xf>
    <xf numFmtId="0" fontId="4" fillId="2" borderId="4" xfId="0" applyFont="1" applyFill="1" applyBorder="1">
      <alignment vertical="center"/>
    </xf>
    <xf numFmtId="0" fontId="0" fillId="2" borderId="4" xfId="0" applyFill="1" applyBorder="1">
      <alignment vertical="center"/>
    </xf>
    <xf numFmtId="0" fontId="0" fillId="2" borderId="2" xfId="0" applyFill="1" applyBorder="1">
      <alignment vertical="center"/>
    </xf>
    <xf numFmtId="0" fontId="2" fillId="2" borderId="2" xfId="0" applyFont="1" applyFill="1" applyBorder="1" applyAlignment="1">
      <alignment horizontal="left" vertical="center" indent="1"/>
    </xf>
    <xf numFmtId="0" fontId="0" fillId="2" borderId="3" xfId="0" applyFill="1" applyBorder="1">
      <alignment vertical="center"/>
    </xf>
    <xf numFmtId="14" fontId="5" fillId="2" borderId="0" xfId="0" applyNumberFormat="1" applyFont="1" applyFill="1" applyBorder="1">
      <alignment vertical="center"/>
    </xf>
    <xf numFmtId="179" fontId="2" fillId="2" borderId="0" xfId="0" applyNumberFormat="1" applyFont="1" applyFill="1" applyBorder="1">
      <alignment vertical="center"/>
    </xf>
    <xf numFmtId="177" fontId="4" fillId="2" borderId="0" xfId="0" applyNumberFormat="1" applyFont="1" applyFill="1" applyBorder="1">
      <alignment vertical="center"/>
    </xf>
    <xf numFmtId="0" fontId="2" fillId="2" borderId="7" xfId="0" applyFont="1" applyFill="1" applyBorder="1" applyAlignment="1">
      <alignment horizontal="right" vertical="center"/>
    </xf>
    <xf numFmtId="0" fontId="0" fillId="6" borderId="0" xfId="0" applyFill="1" applyAlignment="1">
      <alignment horizontal="left" vertical="center"/>
    </xf>
    <xf numFmtId="0" fontId="2" fillId="10" borderId="7" xfId="0" applyFont="1" applyFill="1" applyBorder="1" applyAlignment="1">
      <alignment horizontal="left" vertical="center"/>
    </xf>
    <xf numFmtId="0" fontId="0" fillId="2" borderId="0" xfId="0" applyFill="1" applyBorder="1">
      <alignment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0" xfId="0" applyFill="1" applyBorder="1" applyAlignment="1">
      <alignment horizontal="left" vertical="center"/>
    </xf>
    <xf numFmtId="0" fontId="0" fillId="2" borderId="5" xfId="0" applyFill="1" applyBorder="1">
      <alignment vertical="center"/>
    </xf>
    <xf numFmtId="0" fontId="18" fillId="2" borderId="0" xfId="0" applyNumberFormat="1" applyFont="1" applyFill="1" applyBorder="1" applyAlignment="1">
      <alignment horizontal="right" vertical="center"/>
    </xf>
    <xf numFmtId="0" fontId="4" fillId="2" borderId="4" xfId="0" applyFont="1" applyFill="1" applyBorder="1" applyAlignment="1">
      <alignment horizontal="left" vertical="center"/>
    </xf>
    <xf numFmtId="0" fontId="0" fillId="6" borderId="0" xfId="0" applyFill="1">
      <alignment vertical="center"/>
    </xf>
    <xf numFmtId="180" fontId="5" fillId="2" borderId="2" xfId="0" applyNumberFormat="1" applyFont="1" applyFill="1" applyBorder="1" applyAlignment="1">
      <alignment horizontal="right" vertical="center"/>
    </xf>
    <xf numFmtId="0" fontId="14" fillId="9" borderId="6" xfId="0" applyFont="1" applyFill="1" applyBorder="1">
      <alignment vertical="center"/>
    </xf>
    <xf numFmtId="0" fontId="2" fillId="2" borderId="6" xfId="0" applyFont="1" applyFill="1" applyBorder="1">
      <alignment vertical="center"/>
    </xf>
    <xf numFmtId="2" fontId="2" fillId="2" borderId="6" xfId="1" applyNumberFormat="1" applyFont="1" applyFill="1" applyBorder="1">
      <alignment vertical="center"/>
    </xf>
    <xf numFmtId="0" fontId="4" fillId="2" borderId="3" xfId="0" applyFont="1" applyFill="1" applyBorder="1" applyAlignment="1">
      <alignment horizontal="left" vertical="center"/>
    </xf>
    <xf numFmtId="0" fontId="4" fillId="2" borderId="2" xfId="0" applyFont="1" applyFill="1" applyBorder="1" applyAlignment="1">
      <alignment horizontal="left" vertical="center"/>
    </xf>
    <xf numFmtId="0" fontId="4" fillId="2" borderId="6" xfId="0" applyFont="1" applyFill="1" applyBorder="1" applyAlignment="1">
      <alignment horizontal="left" vertical="center"/>
    </xf>
    <xf numFmtId="0" fontId="4" fillId="2" borderId="0" xfId="0" applyFont="1" applyFill="1" applyBorder="1" applyAlignment="1">
      <alignment horizontal="left" vertical="center"/>
    </xf>
    <xf numFmtId="0" fontId="4" fillId="2" borderId="2" xfId="0" applyFont="1" applyFill="1" applyBorder="1">
      <alignment vertical="center"/>
    </xf>
    <xf numFmtId="0" fontId="0" fillId="7" borderId="0" xfId="0" applyFill="1">
      <alignment vertical="center"/>
    </xf>
    <xf numFmtId="0" fontId="0" fillId="7" borderId="1" xfId="0" applyFill="1" applyBorder="1">
      <alignment vertical="center"/>
    </xf>
    <xf numFmtId="10" fontId="4" fillId="2" borderId="2" xfId="0" applyNumberFormat="1" applyFont="1" applyFill="1" applyBorder="1" applyAlignment="1">
      <alignment horizontal="left" vertical="center"/>
    </xf>
    <xf numFmtId="0" fontId="24" fillId="2" borderId="0" xfId="2" applyFont="1" applyFill="1" applyAlignment="1">
      <alignment horizontal="left" vertical="center"/>
    </xf>
    <xf numFmtId="0" fontId="23" fillId="2" borderId="0" xfId="2" applyFont="1" applyFill="1" applyAlignment="1">
      <alignment horizontal="left" vertical="center"/>
    </xf>
    <xf numFmtId="0" fontId="4" fillId="2" borderId="5" xfId="0" applyFont="1" applyFill="1" applyBorder="1" applyAlignment="1">
      <alignment horizontal="left" vertical="center"/>
    </xf>
    <xf numFmtId="1" fontId="5" fillId="2" borderId="3" xfId="0" applyNumberFormat="1" applyFont="1" applyFill="1" applyBorder="1" applyAlignment="1">
      <alignment horizontal="right" vertical="center"/>
    </xf>
    <xf numFmtId="0" fontId="2" fillId="2" borderId="1" xfId="0" applyFont="1" applyFill="1" applyBorder="1">
      <alignment vertical="center"/>
    </xf>
    <xf numFmtId="0" fontId="9" fillId="2" borderId="0" xfId="0" applyFont="1" applyFill="1" applyBorder="1">
      <alignment vertical="center"/>
    </xf>
    <xf numFmtId="0" fontId="3" fillId="2" borderId="2" xfId="0" applyFont="1" applyFill="1" applyBorder="1">
      <alignment vertical="center"/>
    </xf>
    <xf numFmtId="2" fontId="2" fillId="2" borderId="0" xfId="1" applyNumberFormat="1" applyFont="1" applyFill="1" applyBorder="1" applyAlignment="1">
      <alignment horizontal="right" vertical="center"/>
    </xf>
    <xf numFmtId="0" fontId="14" fillId="9" borderId="3" xfId="0" applyFont="1" applyFill="1" applyBorder="1" applyAlignment="1">
      <alignment horizontal="left" vertical="center"/>
    </xf>
    <xf numFmtId="0" fontId="2" fillId="2" borderId="3" xfId="0" applyFont="1" applyFill="1" applyBorder="1">
      <alignment vertical="center"/>
    </xf>
    <xf numFmtId="2" fontId="2" fillId="2" borderId="3" xfId="1" applyNumberFormat="1" applyFont="1" applyFill="1" applyBorder="1" applyAlignment="1">
      <alignment horizontal="right" vertical="center"/>
    </xf>
    <xf numFmtId="0" fontId="14" fillId="2" borderId="0" xfId="0" applyFont="1" applyFill="1" applyBorder="1" applyAlignment="1">
      <alignment horizontal="left" vertical="center"/>
    </xf>
    <xf numFmtId="0" fontId="28" fillId="2" borderId="0" xfId="2" applyFont="1" applyFill="1">
      <alignment vertical="center"/>
    </xf>
    <xf numFmtId="0" fontId="0" fillId="0" borderId="0" xfId="0" applyFill="1">
      <alignment vertical="center"/>
    </xf>
    <xf numFmtId="0" fontId="0" fillId="0" borderId="0" xfId="0" applyFill="1" applyAlignment="1">
      <alignment horizontal="left" vertical="center"/>
    </xf>
    <xf numFmtId="0" fontId="3" fillId="0" borderId="1" xfId="0" applyFont="1" applyFill="1" applyBorder="1">
      <alignment vertical="center"/>
    </xf>
    <xf numFmtId="0" fontId="0" fillId="0" borderId="1" xfId="0" applyFill="1" applyBorder="1" applyAlignment="1">
      <alignment horizontal="left" vertical="center"/>
    </xf>
    <xf numFmtId="14" fontId="2" fillId="0" borderId="1" xfId="0" applyNumberFormat="1" applyFont="1" applyFill="1" applyBorder="1" applyAlignment="1">
      <alignment horizontal="right" vertical="center"/>
    </xf>
    <xf numFmtId="177" fontId="3" fillId="0" borderId="1" xfId="0" applyNumberFormat="1" applyFont="1" applyFill="1" applyBorder="1">
      <alignment vertical="center"/>
    </xf>
    <xf numFmtId="0" fontId="0" fillId="0" borderId="1" xfId="0" applyFill="1" applyBorder="1">
      <alignment vertical="center"/>
    </xf>
    <xf numFmtId="0" fontId="0" fillId="0" borderId="0" xfId="0" applyFill="1" applyBorder="1">
      <alignment vertical="center"/>
    </xf>
    <xf numFmtId="0" fontId="0" fillId="0" borderId="0" xfId="0" applyFill="1" applyBorder="1" applyAlignment="1">
      <alignment horizontal="left" vertical="center"/>
    </xf>
    <xf numFmtId="0" fontId="26" fillId="0" borderId="8" xfId="0" applyFont="1" applyFill="1" applyBorder="1">
      <alignment vertical="center"/>
    </xf>
    <xf numFmtId="0" fontId="26" fillId="0" borderId="8" xfId="0" applyFont="1" applyFill="1" applyBorder="1" applyAlignment="1">
      <alignment horizontal="left" vertical="center"/>
    </xf>
    <xf numFmtId="0" fontId="2" fillId="0" borderId="0" xfId="0" applyFont="1" applyFill="1">
      <alignment vertical="center"/>
    </xf>
    <xf numFmtId="0" fontId="2" fillId="0" borderId="0" xfId="0" applyFont="1" applyFill="1" applyAlignment="1">
      <alignment horizontal="right" vertical="center"/>
    </xf>
    <xf numFmtId="0" fontId="3" fillId="0" borderId="0" xfId="0" applyFont="1" applyFill="1" applyAlignment="1">
      <alignment horizontal="left" vertical="center"/>
    </xf>
    <xf numFmtId="0" fontId="23" fillId="0" borderId="0" xfId="2" applyFont="1" applyFill="1" applyAlignment="1">
      <alignment horizontal="left" vertical="center"/>
    </xf>
    <xf numFmtId="0" fontId="24" fillId="0" borderId="0" xfId="2" applyFont="1" applyFill="1" applyAlignment="1">
      <alignment horizontal="left" vertical="center"/>
    </xf>
    <xf numFmtId="0" fontId="28" fillId="0" borderId="0" xfId="2" applyFont="1" applyFill="1">
      <alignment vertical="center"/>
    </xf>
    <xf numFmtId="0" fontId="2" fillId="0" borderId="0" xfId="0" applyFont="1" applyFill="1" applyAlignment="1">
      <alignment horizontal="center" vertical="center"/>
    </xf>
    <xf numFmtId="0" fontId="2" fillId="0" borderId="0" xfId="0" applyFont="1" applyFill="1" applyBorder="1" applyAlignment="1">
      <alignment horizontal="right" vertical="center"/>
    </xf>
    <xf numFmtId="0" fontId="2" fillId="0" borderId="0" xfId="0" applyFont="1" applyFill="1" applyAlignment="1">
      <alignment horizontal="left" vertical="center"/>
    </xf>
    <xf numFmtId="14" fontId="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3" fillId="0" borderId="0" xfId="0" applyFont="1" applyFill="1">
      <alignment vertical="center"/>
    </xf>
    <xf numFmtId="0" fontId="9" fillId="0" borderId="0" xfId="0" applyFont="1" applyFill="1">
      <alignment vertical="center"/>
    </xf>
    <xf numFmtId="0" fontId="28" fillId="0" borderId="0" xfId="2" applyFont="1" applyFill="1" applyAlignment="1">
      <alignment horizontal="left" vertical="center"/>
    </xf>
    <xf numFmtId="0" fontId="27" fillId="0" borderId="8" xfId="0" applyFont="1" applyFill="1" applyBorder="1">
      <alignment vertical="center"/>
    </xf>
    <xf numFmtId="0" fontId="24" fillId="2" borderId="0" xfId="0" applyFont="1" applyFill="1" applyAlignment="1">
      <alignment horizontal="right" vertical="center"/>
    </xf>
    <xf numFmtId="0" fontId="23" fillId="2" borderId="0" xfId="0" applyFont="1" applyFill="1" applyAlignment="1">
      <alignment horizontal="left" vertical="center"/>
    </xf>
    <xf numFmtId="0" fontId="23" fillId="2" borderId="0" xfId="0" applyFont="1" applyFill="1">
      <alignment vertical="center"/>
    </xf>
    <xf numFmtId="0" fontId="29" fillId="2" borderId="0" xfId="0" applyFont="1" applyFill="1">
      <alignment vertical="center"/>
    </xf>
    <xf numFmtId="0" fontId="24" fillId="0" borderId="0" xfId="0" applyFont="1" applyFill="1" applyAlignment="1">
      <alignment horizontal="center" vertical="center"/>
    </xf>
    <xf numFmtId="0" fontId="4" fillId="2" borderId="4" xfId="0" applyFont="1" applyFill="1" applyBorder="1" applyAlignment="1">
      <alignment horizontal="left" vertical="center"/>
    </xf>
    <xf numFmtId="0" fontId="4" fillId="2" borderId="0" xfId="0" applyFont="1" applyFill="1" applyBorder="1" applyAlignment="1">
      <alignment horizontal="left" vertical="center"/>
    </xf>
    <xf numFmtId="0" fontId="4" fillId="2" borderId="6" xfId="0" applyFont="1" applyFill="1" applyBorder="1" applyAlignment="1">
      <alignment horizontal="left" vertical="center"/>
    </xf>
    <xf numFmtId="0" fontId="4" fillId="2" borderId="3" xfId="0" applyFont="1" applyFill="1" applyBorder="1" applyAlignment="1">
      <alignment horizontal="left" vertical="center"/>
    </xf>
    <xf numFmtId="0" fontId="5" fillId="2" borderId="0" xfId="0" applyNumberFormat="1" applyFont="1" applyFill="1" applyBorder="1" applyAlignment="1">
      <alignment horizontal="right" vertical="center"/>
    </xf>
    <xf numFmtId="0" fontId="18" fillId="2" borderId="4" xfId="0" applyFont="1" applyFill="1" applyBorder="1" applyAlignment="1">
      <alignment horizontal="right" vertical="center"/>
    </xf>
    <xf numFmtId="0" fontId="6" fillId="2" borderId="8" xfId="0" applyFont="1" applyFill="1" applyBorder="1" applyAlignment="1">
      <alignment horizontal="right" vertical="center"/>
    </xf>
    <xf numFmtId="0" fontId="7" fillId="2" borderId="8" xfId="0" applyNumberFormat="1" applyFont="1" applyFill="1" applyBorder="1" applyAlignment="1">
      <alignment horizontal="right" vertical="center"/>
    </xf>
    <xf numFmtId="0" fontId="7" fillId="2" borderId="8" xfId="0" applyFont="1" applyFill="1" applyBorder="1" applyAlignment="1">
      <alignment horizontal="right" vertical="center"/>
    </xf>
    <xf numFmtId="14" fontId="7" fillId="2" borderId="8" xfId="0" applyNumberFormat="1" applyFont="1" applyFill="1" applyBorder="1" applyAlignment="1">
      <alignment horizontal="right" vertical="center"/>
    </xf>
    <xf numFmtId="179" fontId="7" fillId="2" borderId="8" xfId="0" applyNumberFormat="1" applyFont="1" applyFill="1" applyBorder="1" applyAlignment="1">
      <alignment horizontal="right" vertical="center"/>
    </xf>
    <xf numFmtId="0" fontId="17" fillId="2" borderId="8" xfId="0" applyFont="1" applyFill="1" applyBorder="1">
      <alignment vertical="center"/>
    </xf>
    <xf numFmtId="0" fontId="0" fillId="7" borderId="0" xfId="0" applyFill="1" applyBorder="1">
      <alignment vertical="center"/>
    </xf>
    <xf numFmtId="10" fontId="4" fillId="2" borderId="6" xfId="0" applyNumberFormat="1" applyFont="1" applyFill="1" applyBorder="1" applyAlignment="1">
      <alignment horizontal="left" vertical="center"/>
    </xf>
    <xf numFmtId="0" fontId="4" fillId="2" borderId="1" xfId="0" applyFont="1" applyFill="1" applyBorder="1" applyAlignment="1">
      <alignment horizontal="left" vertical="center"/>
    </xf>
    <xf numFmtId="0" fontId="4" fillId="2" borderId="0" xfId="0" applyFont="1" applyFill="1" applyBorder="1" applyAlignment="1">
      <alignment horizontal="left" vertical="center"/>
    </xf>
    <xf numFmtId="0" fontId="8" fillId="2" borderId="0" xfId="0" applyFont="1" applyFill="1" applyBorder="1" applyAlignment="1">
      <alignment horizontal="left" vertical="center"/>
    </xf>
    <xf numFmtId="0" fontId="7" fillId="2" borderId="10" xfId="0" applyNumberFormat="1" applyFont="1" applyFill="1" applyBorder="1" applyAlignment="1">
      <alignment horizontal="right" vertical="center"/>
    </xf>
    <xf numFmtId="0" fontId="2" fillId="2" borderId="2" xfId="0" applyFont="1" applyFill="1" applyBorder="1">
      <alignment vertical="center"/>
    </xf>
    <xf numFmtId="0" fontId="31" fillId="2" borderId="0" xfId="0" applyFont="1" applyFill="1">
      <alignment vertical="center"/>
    </xf>
    <xf numFmtId="0" fontId="17" fillId="2" borderId="10" xfId="0" applyFont="1" applyFill="1" applyBorder="1" applyAlignment="1">
      <alignment horizontal="right" vertical="center"/>
    </xf>
    <xf numFmtId="182" fontId="17" fillId="2" borderId="8" xfId="3" applyNumberFormat="1" applyFont="1" applyFill="1" applyBorder="1">
      <alignment vertical="center"/>
    </xf>
    <xf numFmtId="0" fontId="17" fillId="2" borderId="11" xfId="0" applyFont="1" applyFill="1" applyBorder="1" applyAlignment="1">
      <alignment horizontal="right" vertical="center"/>
    </xf>
    <xf numFmtId="0" fontId="17" fillId="2" borderId="8" xfId="0" applyFont="1" applyFill="1" applyBorder="1" applyAlignment="1">
      <alignment horizontal="right" vertical="center"/>
    </xf>
    <xf numFmtId="0" fontId="25" fillId="2" borderId="8" xfId="0" applyFont="1" applyFill="1" applyBorder="1" applyAlignment="1">
      <alignment horizontal="right" vertical="center"/>
    </xf>
    <xf numFmtId="0" fontId="8" fillId="2" borderId="12" xfId="0" applyFont="1" applyFill="1" applyBorder="1" applyAlignment="1">
      <alignment horizontal="left" vertical="center"/>
    </xf>
    <xf numFmtId="0" fontId="18" fillId="2" borderId="12" xfId="0" applyNumberFormat="1" applyFont="1" applyFill="1" applyBorder="1" applyAlignment="1">
      <alignment horizontal="right" vertical="center"/>
    </xf>
    <xf numFmtId="0" fontId="8" fillId="11" borderId="2" xfId="0" applyFont="1" applyFill="1" applyBorder="1" applyAlignment="1">
      <alignment horizontal="left" vertical="center"/>
    </xf>
    <xf numFmtId="0" fontId="5" fillId="2" borderId="1" xfId="0" applyFont="1" applyFill="1" applyBorder="1" applyAlignment="1">
      <alignment horizontal="right" vertical="center"/>
    </xf>
    <xf numFmtId="0" fontId="34" fillId="2" borderId="0" xfId="0" applyFont="1" applyFill="1" applyBorder="1" applyAlignment="1">
      <alignment horizontal="right" vertical="center"/>
    </xf>
    <xf numFmtId="0" fontId="33" fillId="2" borderId="15" xfId="0" applyFont="1" applyFill="1" applyBorder="1" applyAlignment="1">
      <alignment horizontal="right" vertical="center"/>
    </xf>
    <xf numFmtId="0" fontId="34" fillId="2" borderId="16" xfId="0" applyFont="1" applyFill="1" applyBorder="1" applyAlignment="1">
      <alignment horizontal="right" vertical="center"/>
    </xf>
    <xf numFmtId="0" fontId="34" fillId="2" borderId="15" xfId="0" applyFont="1" applyFill="1" applyBorder="1" applyAlignment="1">
      <alignment horizontal="right" vertical="center"/>
    </xf>
    <xf numFmtId="0" fontId="34" fillId="2" borderId="19" xfId="0" applyFont="1" applyFill="1" applyBorder="1" applyAlignment="1">
      <alignment horizontal="right" vertical="center"/>
    </xf>
    <xf numFmtId="0" fontId="32" fillId="2" borderId="0" xfId="0" applyFont="1" applyFill="1" applyAlignment="1">
      <alignment horizontal="right" vertical="center"/>
    </xf>
    <xf numFmtId="0" fontId="0" fillId="2" borderId="0" xfId="0" applyFill="1">
      <alignment vertical="center"/>
    </xf>
    <xf numFmtId="0" fontId="33" fillId="2" borderId="13" xfId="0" applyFont="1" applyFill="1" applyBorder="1" applyAlignment="1">
      <alignment horizontal="right" vertical="center"/>
    </xf>
    <xf numFmtId="0" fontId="33" fillId="2" borderId="9" xfId="0" applyFont="1" applyFill="1" applyBorder="1" applyAlignment="1">
      <alignment horizontal="right" vertical="center"/>
    </xf>
    <xf numFmtId="0" fontId="33" fillId="2" borderId="14" xfId="0" applyFont="1" applyFill="1" applyBorder="1" applyAlignment="1">
      <alignment horizontal="right" vertical="center"/>
    </xf>
    <xf numFmtId="0" fontId="34" fillId="2" borderId="17" xfId="0" applyFont="1" applyFill="1" applyBorder="1" applyAlignment="1">
      <alignment horizontal="right" vertical="center"/>
    </xf>
    <xf numFmtId="0" fontId="34" fillId="2" borderId="18" xfId="0" applyFont="1" applyFill="1" applyBorder="1" applyAlignment="1">
      <alignment horizontal="right" vertical="center"/>
    </xf>
    <xf numFmtId="0" fontId="0" fillId="2" borderId="13" xfId="0" applyFill="1" applyBorder="1">
      <alignment vertical="center"/>
    </xf>
    <xf numFmtId="0" fontId="0" fillId="2" borderId="9" xfId="0" applyFill="1" applyBorder="1">
      <alignment vertical="center"/>
    </xf>
    <xf numFmtId="0" fontId="4" fillId="2" borderId="20" xfId="0" applyFont="1" applyFill="1" applyBorder="1" applyAlignment="1">
      <alignment horizontal="left" vertical="center"/>
    </xf>
    <xf numFmtId="176" fontId="4" fillId="2" borderId="21" xfId="1" applyNumberFormat="1" applyFont="1" applyFill="1" applyBorder="1" applyAlignment="1">
      <alignment horizontal="right" vertical="center"/>
    </xf>
    <xf numFmtId="0" fontId="5" fillId="2" borderId="22" xfId="0" applyFont="1" applyFill="1" applyBorder="1" applyAlignment="1">
      <alignment horizontal="left" vertical="center"/>
    </xf>
    <xf numFmtId="2" fontId="5" fillId="2" borderId="23" xfId="1" applyNumberFormat="1" applyFont="1" applyFill="1" applyBorder="1" applyAlignment="1">
      <alignment horizontal="right" vertical="center"/>
    </xf>
    <xf numFmtId="0" fontId="12" fillId="2" borderId="22" xfId="0" applyFont="1" applyFill="1" applyBorder="1" applyAlignment="1">
      <alignment horizontal="left" vertical="center"/>
    </xf>
    <xf numFmtId="0" fontId="13" fillId="2" borderId="22" xfId="0" applyFont="1" applyFill="1" applyBorder="1" applyAlignment="1">
      <alignment horizontal="left" vertical="center"/>
    </xf>
    <xf numFmtId="0" fontId="14" fillId="2" borderId="24" xfId="0" applyFont="1" applyFill="1" applyBorder="1" applyAlignment="1">
      <alignment horizontal="left" vertical="center"/>
    </xf>
    <xf numFmtId="0" fontId="2" fillId="2" borderId="25" xfId="0" applyFont="1" applyFill="1" applyBorder="1">
      <alignment vertical="center"/>
    </xf>
    <xf numFmtId="2" fontId="2" fillId="2" borderId="25" xfId="1" applyNumberFormat="1" applyFont="1" applyFill="1" applyBorder="1" applyAlignment="1">
      <alignment horizontal="right" vertical="center"/>
    </xf>
    <xf numFmtId="2" fontId="5" fillId="2" borderId="25" xfId="1" applyNumberFormat="1" applyFont="1" applyFill="1" applyBorder="1" applyAlignment="1">
      <alignment horizontal="right" vertical="center"/>
    </xf>
    <xf numFmtId="2" fontId="5" fillId="2" borderId="26" xfId="1" applyNumberFormat="1" applyFont="1" applyFill="1" applyBorder="1" applyAlignment="1">
      <alignment horizontal="right" vertical="center"/>
    </xf>
    <xf numFmtId="0" fontId="4" fillId="0" borderId="0" xfId="0" applyFont="1" applyBorder="1">
      <alignment vertical="center"/>
    </xf>
    <xf numFmtId="9" fontId="5" fillId="2" borderId="2" xfId="1" applyFont="1" applyFill="1" applyBorder="1" applyAlignment="1">
      <alignment horizontal="right" vertical="center"/>
    </xf>
    <xf numFmtId="2" fontId="4" fillId="2" borderId="2" xfId="1" applyNumberFormat="1" applyFont="1" applyFill="1" applyBorder="1" applyAlignment="1">
      <alignment horizontal="right" vertical="center"/>
    </xf>
    <xf numFmtId="181" fontId="18" fillId="2" borderId="5" xfId="0" applyNumberFormat="1" applyFont="1" applyFill="1" applyBorder="1" applyAlignment="1">
      <alignment horizontal="right" vertical="center"/>
    </xf>
    <xf numFmtId="0" fontId="4" fillId="2" borderId="1" xfId="0" applyFont="1" applyFill="1" applyBorder="1" applyAlignment="1">
      <alignment horizontal="center" vertical="center"/>
    </xf>
    <xf numFmtId="0" fontId="36" fillId="2" borderId="1" xfId="0" applyFont="1" applyFill="1" applyBorder="1" applyAlignment="1">
      <alignment horizontal="right" vertical="center"/>
    </xf>
    <xf numFmtId="0" fontId="4" fillId="2" borderId="2" xfId="0" applyFont="1" applyFill="1" applyBorder="1" applyAlignment="1">
      <alignment horizontal="center" vertical="center"/>
    </xf>
    <xf numFmtId="0" fontId="4" fillId="2" borderId="4" xfId="0" applyFont="1" applyFill="1" applyBorder="1" applyAlignment="1">
      <alignment horizontal="center" vertical="center"/>
    </xf>
    <xf numFmtId="2" fontId="5" fillId="2" borderId="4" xfId="0" applyNumberFormat="1" applyFont="1" applyFill="1" applyBorder="1" applyAlignment="1">
      <alignment horizontal="right" vertical="center"/>
    </xf>
    <xf numFmtId="0" fontId="4" fillId="2" borderId="0" xfId="0" applyFont="1" applyFill="1" applyBorder="1">
      <alignment vertical="center"/>
    </xf>
    <xf numFmtId="0" fontId="38" fillId="2" borderId="8" xfId="0" applyFont="1" applyFill="1" applyBorder="1" applyAlignment="1">
      <alignment horizontal="right" vertical="center"/>
    </xf>
    <xf numFmtId="0" fontId="4" fillId="2" borderId="1" xfId="0" applyFont="1" applyFill="1" applyBorder="1" applyAlignment="1">
      <alignment horizontal="left" vertical="center"/>
    </xf>
    <xf numFmtId="0" fontId="4" fillId="2" borderId="0" xfId="0" applyFont="1" applyFill="1" applyBorder="1" applyAlignment="1">
      <alignment horizontal="left" vertical="center"/>
    </xf>
    <xf numFmtId="0" fontId="8" fillId="2" borderId="0" xfId="0" applyFont="1" applyFill="1" applyBorder="1" applyAlignment="1">
      <alignment horizontal="left" vertical="center"/>
    </xf>
    <xf numFmtId="0" fontId="4" fillId="11" borderId="1" xfId="0" applyFont="1" applyFill="1" applyBorder="1" applyAlignment="1">
      <alignment horizontal="left" vertical="center"/>
    </xf>
    <xf numFmtId="0" fontId="41" fillId="11" borderId="1" xfId="0" applyFont="1" applyFill="1" applyBorder="1" applyAlignment="1">
      <alignment horizontal="left" vertical="center"/>
    </xf>
    <xf numFmtId="0" fontId="41" fillId="2" borderId="6" xfId="0" applyFont="1" applyFill="1" applyBorder="1" applyAlignment="1">
      <alignment horizontal="left" vertical="center"/>
    </xf>
    <xf numFmtId="0" fontId="41" fillId="2" borderId="2" xfId="0" applyFont="1" applyFill="1" applyBorder="1" applyAlignment="1">
      <alignment horizontal="left" vertical="center"/>
    </xf>
    <xf numFmtId="183" fontId="40" fillId="2" borderId="1" xfId="0" applyNumberFormat="1" applyFont="1" applyFill="1" applyBorder="1">
      <alignment vertical="center"/>
    </xf>
    <xf numFmtId="0" fontId="8" fillId="2" borderId="6" xfId="0" applyFont="1" applyFill="1" applyBorder="1" applyAlignment="1">
      <alignment horizontal="left" vertical="center"/>
    </xf>
    <xf numFmtId="179" fontId="7" fillId="2" borderId="5" xfId="0" applyNumberFormat="1" applyFont="1" applyFill="1" applyBorder="1" applyAlignment="1">
      <alignment horizontal="right" vertical="center"/>
    </xf>
    <xf numFmtId="43" fontId="38" fillId="2" borderId="8" xfId="3" applyNumberFormat="1" applyFont="1" applyFill="1" applyBorder="1" applyAlignment="1">
      <alignment horizontal="right" vertical="center"/>
    </xf>
    <xf numFmtId="10" fontId="4" fillId="2" borderId="3" xfId="0" applyNumberFormat="1" applyFont="1" applyFill="1" applyBorder="1" applyAlignment="1">
      <alignment horizontal="left" vertical="center"/>
    </xf>
    <xf numFmtId="10" fontId="4" fillId="2" borderId="3" xfId="0" applyNumberFormat="1" applyFont="1" applyFill="1" applyBorder="1" applyAlignment="1">
      <alignment horizontal="center" vertical="center"/>
    </xf>
    <xf numFmtId="0" fontId="38" fillId="2" borderId="27" xfId="0" applyFont="1" applyFill="1" applyBorder="1" applyAlignment="1">
      <alignment horizontal="right" vertical="center"/>
    </xf>
    <xf numFmtId="0" fontId="4" fillId="2" borderId="1" xfId="0" applyFont="1" applyFill="1" applyBorder="1">
      <alignment vertical="center"/>
    </xf>
    <xf numFmtId="9" fontId="5" fillId="2" borderId="3" xfId="1" applyFont="1" applyFill="1" applyBorder="1" applyAlignment="1">
      <alignment horizontal="right" vertical="center"/>
    </xf>
    <xf numFmtId="0" fontId="39" fillId="2" borderId="0" xfId="0" applyFont="1" applyFill="1">
      <alignment vertical="center"/>
    </xf>
    <xf numFmtId="0" fontId="0" fillId="2" borderId="0" xfId="0" applyFill="1" applyAlignment="1">
      <alignment horizontal="center" vertical="center"/>
    </xf>
    <xf numFmtId="0" fontId="4" fillId="2" borderId="0" xfId="0" applyFont="1" applyFill="1" applyBorder="1" applyAlignment="1">
      <alignment horizontal="right" vertical="center"/>
    </xf>
    <xf numFmtId="184" fontId="39" fillId="2" borderId="0" xfId="0" applyNumberFormat="1" applyFont="1" applyFill="1" applyBorder="1">
      <alignment vertical="center"/>
    </xf>
    <xf numFmtId="184" fontId="39" fillId="2" borderId="0" xfId="0" applyNumberFormat="1" applyFont="1" applyFill="1">
      <alignment vertical="center"/>
    </xf>
    <xf numFmtId="0" fontId="2" fillId="2" borderId="7" xfId="0" applyFont="1" applyFill="1" applyBorder="1" applyAlignment="1">
      <alignment horizontal="left" vertical="center"/>
    </xf>
    <xf numFmtId="0" fontId="4" fillId="2" borderId="2" xfId="0" applyFont="1" applyFill="1" applyBorder="1" applyAlignment="1">
      <alignment horizontal="left" vertical="center"/>
    </xf>
    <xf numFmtId="0" fontId="4" fillId="2" borderId="3" xfId="0" applyFont="1" applyFill="1" applyBorder="1" applyAlignment="1">
      <alignment horizontal="left" vertical="center"/>
    </xf>
    <xf numFmtId="0" fontId="4" fillId="2" borderId="6" xfId="0" applyFont="1" applyFill="1" applyBorder="1" applyAlignment="1">
      <alignment horizontal="left" vertical="center"/>
    </xf>
    <xf numFmtId="0" fontId="4" fillId="2" borderId="1" xfId="0" applyFont="1" applyFill="1" applyBorder="1" applyAlignment="1">
      <alignment horizontal="left" vertical="center"/>
    </xf>
    <xf numFmtId="0" fontId="4" fillId="2" borderId="0" xfId="0" applyFont="1" applyFill="1" applyBorder="1" applyAlignment="1">
      <alignment horizontal="left" vertical="center"/>
    </xf>
    <xf numFmtId="0" fontId="8" fillId="2" borderId="2" xfId="0" applyFont="1" applyFill="1" applyBorder="1" applyAlignment="1">
      <alignment horizontal="left" vertical="center"/>
    </xf>
    <xf numFmtId="0" fontId="8" fillId="2" borderId="0" xfId="0" applyFont="1" applyFill="1" applyBorder="1" applyAlignment="1">
      <alignment horizontal="left" vertical="center"/>
    </xf>
    <xf numFmtId="0" fontId="6" fillId="2" borderId="28" xfId="0" applyFont="1" applyFill="1" applyBorder="1" applyAlignment="1">
      <alignment horizontal="right" vertical="center"/>
    </xf>
    <xf numFmtId="0" fontId="17" fillId="2" borderId="0" xfId="0" applyFont="1" applyFill="1" applyBorder="1">
      <alignment vertical="center"/>
    </xf>
    <xf numFmtId="0" fontId="4" fillId="2" borderId="1" xfId="0" applyFont="1" applyFill="1" applyBorder="1" applyAlignment="1">
      <alignment horizontal="left" vertical="center"/>
    </xf>
    <xf numFmtId="0" fontId="3" fillId="2" borderId="1" xfId="0" applyFont="1" applyFill="1" applyBorder="1" applyAlignment="1">
      <alignment horizontal="left" vertical="center"/>
    </xf>
    <xf numFmtId="0" fontId="4" fillId="2" borderId="2" xfId="0" applyFont="1" applyFill="1" applyBorder="1" applyAlignment="1">
      <alignment horizontal="left" vertical="center"/>
    </xf>
    <xf numFmtId="0" fontId="3" fillId="2" borderId="2" xfId="0" applyFont="1" applyFill="1" applyBorder="1" applyAlignment="1">
      <alignment horizontal="left" vertical="center"/>
    </xf>
    <xf numFmtId="0" fontId="30" fillId="2" borderId="3" xfId="0" applyFont="1" applyFill="1" applyBorder="1" applyAlignment="1">
      <alignment horizontal="right" vertical="center"/>
    </xf>
    <xf numFmtId="0" fontId="4" fillId="2" borderId="6" xfId="0" applyFont="1" applyFill="1" applyBorder="1" applyAlignment="1">
      <alignment horizontal="left" vertical="center" wrapText="1"/>
    </xf>
    <xf numFmtId="0" fontId="4" fillId="2" borderId="0" xfId="0" applyFont="1" applyFill="1" applyBorder="1" applyAlignment="1">
      <alignment horizontal="left" vertical="center" wrapText="1"/>
    </xf>
    <xf numFmtId="0" fontId="4" fillId="2" borderId="4" xfId="0" applyFont="1" applyFill="1" applyBorder="1" applyAlignment="1">
      <alignment horizontal="left" vertical="center" wrapText="1"/>
    </xf>
    <xf numFmtId="0" fontId="4" fillId="2" borderId="6" xfId="0" applyFont="1" applyFill="1" applyBorder="1" applyAlignment="1">
      <alignment horizontal="left" vertical="center"/>
    </xf>
    <xf numFmtId="0" fontId="4" fillId="2" borderId="3" xfId="0" applyFont="1" applyFill="1" applyBorder="1" applyAlignment="1">
      <alignment horizontal="left" vertical="center"/>
    </xf>
    <xf numFmtId="0" fontId="8" fillId="2" borderId="2" xfId="0" applyFont="1" applyFill="1" applyBorder="1" applyAlignment="1">
      <alignment vertical="center"/>
    </xf>
    <xf numFmtId="0" fontId="4" fillId="2" borderId="2" xfId="0" applyFont="1" applyFill="1" applyBorder="1" applyAlignment="1">
      <alignment vertical="center"/>
    </xf>
    <xf numFmtId="0" fontId="8" fillId="2" borderId="2" xfId="0" applyFont="1" applyFill="1" applyBorder="1" applyAlignment="1">
      <alignment horizontal="left" vertical="center"/>
    </xf>
    <xf numFmtId="0" fontId="5" fillId="2" borderId="2" xfId="0" applyFont="1" applyFill="1" applyBorder="1" applyAlignment="1">
      <alignment horizontal="left" vertical="center"/>
    </xf>
    <xf numFmtId="0" fontId="4" fillId="2" borderId="2" xfId="0" applyFont="1" applyFill="1" applyBorder="1" applyAlignment="1">
      <alignment horizontal="left" vertical="center" wrapText="1"/>
    </xf>
    <xf numFmtId="0" fontId="4" fillId="2" borderId="0" xfId="0" applyFont="1" applyFill="1" applyBorder="1" applyAlignment="1">
      <alignment horizontal="left" vertical="center"/>
    </xf>
    <xf numFmtId="0" fontId="8" fillId="2" borderId="0" xfId="0" applyFont="1" applyFill="1" applyBorder="1" applyAlignment="1">
      <alignment horizontal="left" vertical="center"/>
    </xf>
    <xf numFmtId="176" fontId="8" fillId="2" borderId="0" xfId="1" applyNumberFormat="1" applyFont="1" applyFill="1" applyBorder="1" applyAlignment="1">
      <alignment horizontal="left" vertical="center"/>
    </xf>
    <xf numFmtId="0" fontId="4" fillId="2" borderId="1" xfId="0" applyFont="1" applyFill="1" applyBorder="1" applyAlignment="1">
      <alignment horizontal="center" vertical="center"/>
    </xf>
    <xf numFmtId="0" fontId="35" fillId="2" borderId="9" xfId="0" applyFont="1" applyFill="1" applyBorder="1" applyAlignment="1">
      <alignment horizontal="left" vertical="center"/>
    </xf>
    <xf numFmtId="0" fontId="35" fillId="2" borderId="9" xfId="0" applyFont="1" applyFill="1" applyBorder="1" applyAlignment="1">
      <alignment horizontal="center" vertical="center"/>
    </xf>
    <xf numFmtId="0" fontId="35" fillId="2" borderId="14" xfId="0" applyFont="1" applyFill="1" applyBorder="1" applyAlignment="1">
      <alignment horizontal="center" vertical="center"/>
    </xf>
  </cellXfs>
  <cellStyles count="4">
    <cellStyle name="一般" xfId="0" builtinId="0"/>
    <cellStyle name="一般 2" xfId="2"/>
    <cellStyle name="千分位" xfId="3" builtinId="3"/>
    <cellStyle name="百分比"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xdr:col>
      <xdr:colOff>81643</xdr:colOff>
      <xdr:row>64</xdr:row>
      <xdr:rowOff>0</xdr:rowOff>
    </xdr:from>
    <xdr:to>
      <xdr:col>18</xdr:col>
      <xdr:colOff>616858</xdr:colOff>
      <xdr:row>69</xdr:row>
      <xdr:rowOff>72572</xdr:rowOff>
    </xdr:to>
    <xdr:sp macro="" textlink="">
      <xdr:nvSpPr>
        <xdr:cNvPr id="2" name="文字方塊 1"/>
        <xdr:cNvSpPr txBox="1"/>
      </xdr:nvSpPr>
      <xdr:spPr>
        <a:xfrm>
          <a:off x="3846286" y="14496143"/>
          <a:ext cx="5216072"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TW" altLang="en-US" sz="1100" b="0" i="0">
              <a:solidFill>
                <a:schemeClr val="dk1"/>
              </a:solidFill>
              <a:effectLst/>
              <a:latin typeface="+mn-lt"/>
              <a:ea typeface="+mn-ea"/>
              <a:cs typeface="+mn-cs"/>
            </a:rPr>
            <a:t>計算星期幾</a:t>
          </a:r>
          <a:r>
            <a:rPr lang="en-US" altLang="zh-TW" sz="1100" b="0" i="0">
              <a:solidFill>
                <a:schemeClr val="dk1"/>
              </a:solidFill>
              <a:effectLst/>
              <a:latin typeface="+mn-lt"/>
              <a:ea typeface="+mn-ea"/>
              <a:cs typeface="+mn-cs"/>
            </a:rPr>
            <a:t>Ctrl+shift+enter</a:t>
          </a:r>
        </a:p>
        <a:p>
          <a:pPr algn="l"/>
          <a:r>
            <a:rPr lang="en-US" altLang="zh-TW" sz="1100" b="0" i="0">
              <a:solidFill>
                <a:schemeClr val="dk1"/>
              </a:solidFill>
              <a:effectLst/>
              <a:latin typeface="+mn-lt"/>
              <a:ea typeface="+mn-ea"/>
              <a:cs typeface="+mn-cs"/>
            </a:rPr>
            <a:t>{=SUM(IF(WEEKDAY(ROW(INDIRECT($A$2 &amp; ":" &amp; $A$5)),2)=ROW(1:1),1,0))}</a:t>
          </a:r>
        </a:p>
        <a:p>
          <a:pPr algn="l"/>
          <a:r>
            <a:rPr lang="en-US" altLang="zh-TW" sz="1100"/>
            <a:t>http://isvincent.pixnet.net/blog/post/36246205-excel-%E8%A8%88%E7%AE%97%E4%B8%80%E6%AE%B5%E6%99%82%E9%96%93%E7%AF%84%E5%9C%8D%E5%85%A7%E6%AF%8F%E5%80%8B%E6%98%9F%E6%9C%9F%E5%B9%BE%E7%9A%84%E5%A4%A9%E6%95%B8(su</a:t>
          </a:r>
          <a:endParaRPr lang="zh-TW"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590176</xdr:colOff>
      <xdr:row>6</xdr:row>
      <xdr:rowOff>74706</xdr:rowOff>
    </xdr:from>
    <xdr:to>
      <xdr:col>7</xdr:col>
      <xdr:colOff>440763</xdr:colOff>
      <xdr:row>8</xdr:row>
      <xdr:rowOff>141941</xdr:rowOff>
    </xdr:to>
    <xdr:sp macro="" textlink="">
      <xdr:nvSpPr>
        <xdr:cNvPr id="5" name="文字方塊 4"/>
        <xdr:cNvSpPr txBox="1"/>
      </xdr:nvSpPr>
      <xdr:spPr>
        <a:xfrm>
          <a:off x="4878294" y="291353"/>
          <a:ext cx="1269998" cy="50052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altLang="zh-TW" sz="1100"/>
            <a:t>1.</a:t>
          </a:r>
          <a:r>
            <a:rPr lang="zh-TW" altLang="en-US" sz="1100"/>
            <a:t>選擇買賣類型：</a:t>
          </a:r>
          <a:endParaRPr lang="en-US" altLang="zh-TW" sz="1100"/>
        </a:p>
        <a:p>
          <a:pPr algn="l"/>
          <a:r>
            <a:rPr lang="zh-TW" altLang="en-US" sz="1100"/>
            <a:t>    賣價 </a:t>
          </a:r>
          <a:r>
            <a:rPr lang="en-US" altLang="zh-TW" sz="1100"/>
            <a:t>or </a:t>
          </a:r>
          <a:r>
            <a:rPr lang="zh-TW" altLang="en-US" sz="1100"/>
            <a:t>買價</a:t>
          </a:r>
        </a:p>
      </xdr:txBody>
    </xdr:sp>
    <xdr:clientData/>
  </xdr:twoCellAnchor>
  <xdr:twoCellAnchor>
    <xdr:from>
      <xdr:col>5</xdr:col>
      <xdr:colOff>593163</xdr:colOff>
      <xdr:row>10</xdr:row>
      <xdr:rowOff>25399</xdr:rowOff>
    </xdr:from>
    <xdr:to>
      <xdr:col>7</xdr:col>
      <xdr:colOff>443751</xdr:colOff>
      <xdr:row>11</xdr:row>
      <xdr:rowOff>141941</xdr:rowOff>
    </xdr:to>
    <xdr:sp macro="" textlink="">
      <xdr:nvSpPr>
        <xdr:cNvPr id="11" name="文字方塊 10"/>
        <xdr:cNvSpPr txBox="1"/>
      </xdr:nvSpPr>
      <xdr:spPr>
        <a:xfrm>
          <a:off x="4881281" y="1108634"/>
          <a:ext cx="1269999" cy="33318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2.</a:t>
          </a:r>
          <a:r>
            <a:rPr lang="zh-TW" altLang="en-US" sz="1100"/>
            <a:t>選擇商品貨幣對</a:t>
          </a:r>
          <a:endParaRPr lang="en-US" altLang="zh-TW" sz="1100"/>
        </a:p>
      </xdr:txBody>
    </xdr:sp>
    <xdr:clientData/>
  </xdr:twoCellAnchor>
  <xdr:twoCellAnchor>
    <xdr:from>
      <xdr:col>5</xdr:col>
      <xdr:colOff>566270</xdr:colOff>
      <xdr:row>13</xdr:row>
      <xdr:rowOff>58271</xdr:rowOff>
    </xdr:from>
    <xdr:to>
      <xdr:col>7</xdr:col>
      <xdr:colOff>448236</xdr:colOff>
      <xdr:row>15</xdr:row>
      <xdr:rowOff>7470</xdr:rowOff>
    </xdr:to>
    <mc:AlternateContent xmlns:mc="http://schemas.openxmlformats.org/markup-compatibility/2006" xmlns:a14="http://schemas.microsoft.com/office/drawing/2010/main">
      <mc:Choice Requires="a14">
        <xdr:sp macro="" textlink="">
          <xdr:nvSpPr>
            <xdr:cNvPr id="12" name="文字方塊 11"/>
            <xdr:cNvSpPr txBox="1"/>
          </xdr:nvSpPr>
          <xdr:spPr>
            <a:xfrm>
              <a:off x="4854388" y="1791447"/>
              <a:ext cx="1301377" cy="38249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3.</a:t>
              </a:r>
              <a:r>
                <a:rPr lang="zh-TW" altLang="en-US" sz="1100"/>
                <a:t>輸入手數</a:t>
              </a:r>
              <a14:m>
                <m:oMath xmlns:m="http://schemas.openxmlformats.org/officeDocument/2006/math">
                  <m:r>
                    <a:rPr lang="zh-TW" altLang="en-US" sz="1100" i="1">
                      <a:latin typeface="Cambria Math" panose="02040503050406030204" pitchFamily="18" charset="0"/>
                    </a:rPr>
                    <m:t>≥</m:t>
                  </m:r>
                  <m:r>
                    <a:rPr lang="en-US" altLang="zh-TW" sz="1100" b="0" i="1">
                      <a:latin typeface="Cambria Math" panose="02040503050406030204" pitchFamily="18" charset="0"/>
                    </a:rPr>
                    <m:t>0.01</m:t>
                  </m:r>
                </m:oMath>
              </a14:m>
              <a:endParaRPr lang="en-US" altLang="zh-TW" sz="1100"/>
            </a:p>
          </xdr:txBody>
        </xdr:sp>
      </mc:Choice>
      <mc:Fallback xmlns="">
        <xdr:sp macro="" textlink="">
          <xdr:nvSpPr>
            <xdr:cNvPr id="12" name="文字方塊 11"/>
            <xdr:cNvSpPr txBox="1"/>
          </xdr:nvSpPr>
          <xdr:spPr>
            <a:xfrm>
              <a:off x="4854388" y="1791447"/>
              <a:ext cx="1301377" cy="38249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3.</a:t>
              </a:r>
              <a:r>
                <a:rPr lang="zh-TW" altLang="en-US" sz="1100"/>
                <a:t>輸入手數</a:t>
              </a:r>
              <a:r>
                <a:rPr lang="zh-TW" altLang="en-US" sz="1100" i="0">
                  <a:latin typeface="Cambria Math" panose="02040503050406030204" pitchFamily="18" charset="0"/>
                </a:rPr>
                <a:t>≥</a:t>
              </a:r>
              <a:r>
                <a:rPr lang="en-US" altLang="zh-TW" sz="1100" b="0" i="0">
                  <a:latin typeface="Cambria Math" panose="02040503050406030204" pitchFamily="18" charset="0"/>
                </a:rPr>
                <a:t>0.01</a:t>
              </a:r>
              <a:endParaRPr lang="en-US" altLang="zh-TW" sz="1100"/>
            </a:p>
          </xdr:txBody>
        </xdr:sp>
      </mc:Fallback>
    </mc:AlternateContent>
    <xdr:clientData/>
  </xdr:twoCellAnchor>
  <xdr:twoCellAnchor>
    <xdr:from>
      <xdr:col>5</xdr:col>
      <xdr:colOff>457198</xdr:colOff>
      <xdr:row>16</xdr:row>
      <xdr:rowOff>106081</xdr:rowOff>
    </xdr:from>
    <xdr:to>
      <xdr:col>7</xdr:col>
      <xdr:colOff>612587</xdr:colOff>
      <xdr:row>19</xdr:row>
      <xdr:rowOff>22411</xdr:rowOff>
    </xdr:to>
    <mc:AlternateContent xmlns:mc="http://schemas.openxmlformats.org/markup-compatibility/2006" xmlns:a14="http://schemas.microsoft.com/office/drawing/2010/main">
      <mc:Choice Requires="a14">
        <xdr:sp macro="" textlink="">
          <xdr:nvSpPr>
            <xdr:cNvPr id="13" name="文字方塊 12"/>
            <xdr:cNvSpPr txBox="1"/>
          </xdr:nvSpPr>
          <xdr:spPr>
            <a:xfrm>
              <a:off x="4745316" y="2489199"/>
              <a:ext cx="1574800" cy="56627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4.</a:t>
              </a:r>
              <a:r>
                <a:rPr lang="zh-TW" altLang="en-US" sz="1100"/>
                <a:t>輸入槓桿倍數</a:t>
              </a:r>
              <a:endParaRPr lang="en-US" altLang="zh-TW" sz="1100"/>
            </a:p>
            <a:p>
              <a:r>
                <a:rPr lang="zh-TW" altLang="en-US" sz="1100"/>
                <a:t>   </a:t>
              </a:r>
              <a14:m>
                <m:oMath xmlns:m="http://schemas.openxmlformats.org/officeDocument/2006/math">
                  <m:r>
                    <a:rPr lang="en-US" altLang="zh-TW" sz="1100" b="0" i="0">
                      <a:latin typeface="Cambria Math" panose="02040503050406030204" pitchFamily="18" charset="0"/>
                    </a:rPr>
                    <m:t>100</m:t>
                  </m:r>
                  <m:r>
                    <a:rPr lang="zh-TW" altLang="en-US" sz="1100" i="1">
                      <a:latin typeface="Cambria Math" panose="02040503050406030204" pitchFamily="18" charset="0"/>
                    </a:rPr>
                    <m:t>≥</m:t>
                  </m:r>
                  <m:r>
                    <a:rPr lang="zh-TW" altLang="en-US" sz="1100" i="1">
                      <a:latin typeface="Cambria Math" panose="02040503050406030204" pitchFamily="18" charset="0"/>
                    </a:rPr>
                    <m:t>槓桿倍數</m:t>
                  </m:r>
                  <m:r>
                    <a:rPr lang="zh-TW" altLang="en-US" sz="1100" i="1">
                      <a:latin typeface="Cambria Math" panose="02040503050406030204" pitchFamily="18" charset="0"/>
                    </a:rPr>
                    <m:t>≥</m:t>
                  </m:r>
                </m:oMath>
              </a14:m>
              <a:r>
                <a:rPr lang="en-US" altLang="zh-TW" sz="1100"/>
                <a:t>40</a:t>
              </a:r>
            </a:p>
          </xdr:txBody>
        </xdr:sp>
      </mc:Choice>
      <mc:Fallback xmlns="">
        <xdr:sp macro="" textlink="">
          <xdr:nvSpPr>
            <xdr:cNvPr id="13" name="文字方塊 12"/>
            <xdr:cNvSpPr txBox="1"/>
          </xdr:nvSpPr>
          <xdr:spPr>
            <a:xfrm>
              <a:off x="4745316" y="2489199"/>
              <a:ext cx="1574800" cy="56627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100"/>
                <a:t>4.</a:t>
              </a:r>
              <a:r>
                <a:rPr lang="zh-TW" altLang="en-US" sz="1100"/>
                <a:t>輸入槓桿倍數</a:t>
              </a:r>
              <a:endParaRPr lang="en-US" altLang="zh-TW" sz="1100"/>
            </a:p>
            <a:p>
              <a:r>
                <a:rPr lang="zh-TW" altLang="en-US" sz="1100"/>
                <a:t>   </a:t>
              </a:r>
              <a:r>
                <a:rPr lang="en-US" altLang="zh-TW" sz="1100" b="0" i="0">
                  <a:latin typeface="Cambria Math" panose="02040503050406030204" pitchFamily="18" charset="0"/>
                </a:rPr>
                <a:t>100</a:t>
              </a:r>
              <a:r>
                <a:rPr lang="zh-TW" altLang="en-US" sz="1100" i="0">
                  <a:latin typeface="Cambria Math" panose="02040503050406030204" pitchFamily="18" charset="0"/>
                </a:rPr>
                <a:t>≥槓桿倍數≥</a:t>
              </a:r>
              <a:r>
                <a:rPr lang="en-US" altLang="zh-TW" sz="1100"/>
                <a:t>40</a:t>
              </a:r>
            </a:p>
          </xdr:txBody>
        </xdr:sp>
      </mc:Fallback>
    </mc:AlternateContent>
    <xdr:clientData/>
  </xdr:twoCellAnchor>
  <xdr:twoCellAnchor>
    <xdr:from>
      <xdr:col>5</xdr:col>
      <xdr:colOff>422835</xdr:colOff>
      <xdr:row>20</xdr:row>
      <xdr:rowOff>153897</xdr:rowOff>
    </xdr:from>
    <xdr:to>
      <xdr:col>8</xdr:col>
      <xdr:colOff>82176</xdr:colOff>
      <xdr:row>23</xdr:row>
      <xdr:rowOff>2</xdr:rowOff>
    </xdr:to>
    <xdr:sp macro="" textlink="">
      <xdr:nvSpPr>
        <xdr:cNvPr id="14" name="文字方塊 13"/>
        <xdr:cNvSpPr txBox="1"/>
      </xdr:nvSpPr>
      <xdr:spPr>
        <a:xfrm>
          <a:off x="4710953" y="3403603"/>
          <a:ext cx="1691341" cy="496046"/>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400"/>
            <a:t>按下浮動損益試算</a:t>
          </a:r>
          <a:endParaRPr lang="en-US" altLang="zh-TW" sz="1400"/>
        </a:p>
      </xdr:txBody>
    </xdr:sp>
    <xdr:clientData/>
  </xdr:twoCellAnchor>
  <xdr:twoCellAnchor>
    <xdr:from>
      <xdr:col>9</xdr:col>
      <xdr:colOff>479689</xdr:colOff>
      <xdr:row>16</xdr:row>
      <xdr:rowOff>0</xdr:rowOff>
    </xdr:from>
    <xdr:to>
      <xdr:col>12</xdr:col>
      <xdr:colOff>362859</xdr:colOff>
      <xdr:row>19</xdr:row>
      <xdr:rowOff>206507</xdr:rowOff>
    </xdr:to>
    <xdr:sp macro="" textlink="">
      <xdr:nvSpPr>
        <xdr:cNvPr id="8" name="文字方塊 7"/>
        <xdr:cNvSpPr txBox="1"/>
      </xdr:nvSpPr>
      <xdr:spPr>
        <a:xfrm>
          <a:off x="8580475" y="3483429"/>
          <a:ext cx="1706527" cy="859649"/>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nSpc>
              <a:spcPct val="150000"/>
            </a:lnSpc>
          </a:pPr>
          <a:r>
            <a:rPr lang="zh-TW" altLang="en-US" sz="1100" b="1"/>
            <a:t>如要計算隔夜利息輸入</a:t>
          </a:r>
          <a:endParaRPr lang="en-US" altLang="zh-TW" sz="1100" b="1"/>
        </a:p>
        <a:p>
          <a:r>
            <a:rPr lang="zh-TW" altLang="en-US" sz="1100"/>
            <a:t>持有日期與時間</a:t>
          </a:r>
          <a:endParaRPr lang="en-US" altLang="zh-TW" sz="1100"/>
        </a:p>
        <a:p>
          <a:r>
            <a:rPr lang="zh-TW" altLang="en-US" sz="1100"/>
            <a:t>平倉日期與時間</a:t>
          </a:r>
          <a:endParaRPr lang="en-US" altLang="zh-TW" sz="1100"/>
        </a:p>
      </xdr:txBody>
    </xdr:sp>
    <xdr:clientData/>
  </xdr:twoCellAnchor>
  <xdr:twoCellAnchor>
    <xdr:from>
      <xdr:col>4</xdr:col>
      <xdr:colOff>581959</xdr:colOff>
      <xdr:row>26</xdr:row>
      <xdr:rowOff>99575</xdr:rowOff>
    </xdr:from>
    <xdr:to>
      <xdr:col>6</xdr:col>
      <xdr:colOff>360722</xdr:colOff>
      <xdr:row>28</xdr:row>
      <xdr:rowOff>33086</xdr:rowOff>
    </xdr:to>
    <xdr:sp macro="" textlink="">
      <xdr:nvSpPr>
        <xdr:cNvPr id="15" name="文字方塊 14"/>
        <xdr:cNvSpPr txBox="1"/>
      </xdr:nvSpPr>
      <xdr:spPr>
        <a:xfrm>
          <a:off x="4257488" y="4649163"/>
          <a:ext cx="1198175" cy="36680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計算出浮動損益</a:t>
          </a:r>
        </a:p>
      </xdr:txBody>
    </xdr:sp>
    <xdr:clientData/>
  </xdr:twoCellAnchor>
  <xdr:twoCellAnchor>
    <xdr:from>
      <xdr:col>7</xdr:col>
      <xdr:colOff>184741</xdr:colOff>
      <xdr:row>26</xdr:row>
      <xdr:rowOff>118570</xdr:rowOff>
    </xdr:from>
    <xdr:to>
      <xdr:col>9</xdr:col>
      <xdr:colOff>290289</xdr:colOff>
      <xdr:row>28</xdr:row>
      <xdr:rowOff>117929</xdr:rowOff>
    </xdr:to>
    <xdr:sp macro="" textlink="">
      <xdr:nvSpPr>
        <xdr:cNvPr id="16" name="文字方塊 15"/>
        <xdr:cNvSpPr txBox="1"/>
      </xdr:nvSpPr>
      <xdr:spPr>
        <a:xfrm>
          <a:off x="7069955" y="5779141"/>
          <a:ext cx="1321120" cy="43478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當下的保證金試算</a:t>
          </a:r>
        </a:p>
      </xdr:txBody>
    </xdr:sp>
    <xdr:clientData/>
  </xdr:twoCellAnchor>
  <xdr:twoCellAnchor>
    <xdr:from>
      <xdr:col>10</xdr:col>
      <xdr:colOff>73585</xdr:colOff>
      <xdr:row>26</xdr:row>
      <xdr:rowOff>112062</xdr:rowOff>
    </xdr:from>
    <xdr:to>
      <xdr:col>12</xdr:col>
      <xdr:colOff>106350</xdr:colOff>
      <xdr:row>28</xdr:row>
      <xdr:rowOff>44827</xdr:rowOff>
    </xdr:to>
    <xdr:sp macro="" textlink="">
      <xdr:nvSpPr>
        <xdr:cNvPr id="17" name="文字方塊 16"/>
        <xdr:cNvSpPr txBox="1"/>
      </xdr:nvSpPr>
      <xdr:spPr>
        <a:xfrm>
          <a:off x="7585635" y="4645962"/>
          <a:ext cx="1251965" cy="36456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計算隔夜利息</a:t>
          </a:r>
        </a:p>
      </xdr:txBody>
    </xdr:sp>
    <xdr:clientData/>
  </xdr:twoCellAnchor>
  <xdr:twoCellAnchor>
    <xdr:from>
      <xdr:col>2</xdr:col>
      <xdr:colOff>87084</xdr:colOff>
      <xdr:row>26</xdr:row>
      <xdr:rowOff>36367</xdr:rowOff>
    </xdr:from>
    <xdr:to>
      <xdr:col>4</xdr:col>
      <xdr:colOff>167021</xdr:colOff>
      <xdr:row>28</xdr:row>
      <xdr:rowOff>170962</xdr:rowOff>
    </xdr:to>
    <xdr:sp macro="" textlink="">
      <xdr:nvSpPr>
        <xdr:cNvPr id="18" name="文字方塊 17"/>
        <xdr:cNvSpPr txBox="1"/>
      </xdr:nvSpPr>
      <xdr:spPr>
        <a:xfrm>
          <a:off x="5582276" y="4652329"/>
          <a:ext cx="1301091" cy="57421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當下的買入或賣出成本</a:t>
          </a:r>
        </a:p>
      </xdr:txBody>
    </xdr:sp>
    <xdr:clientData/>
  </xdr:twoCellAnchor>
  <xdr:twoCellAnchor>
    <xdr:from>
      <xdr:col>6</xdr:col>
      <xdr:colOff>338431</xdr:colOff>
      <xdr:row>8</xdr:row>
      <xdr:rowOff>148167</xdr:rowOff>
    </xdr:from>
    <xdr:to>
      <xdr:col>6</xdr:col>
      <xdr:colOff>498228</xdr:colOff>
      <xdr:row>9</xdr:row>
      <xdr:rowOff>211668</xdr:rowOff>
    </xdr:to>
    <xdr:sp macro="" textlink="">
      <xdr:nvSpPr>
        <xdr:cNvPr id="19" name="向下箭號 18"/>
        <xdr:cNvSpPr/>
      </xdr:nvSpPr>
      <xdr:spPr>
        <a:xfrm>
          <a:off x="7250162" y="1906629"/>
          <a:ext cx="159797" cy="28330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6</xdr:col>
      <xdr:colOff>334523</xdr:colOff>
      <xdr:row>11</xdr:row>
      <xdr:rowOff>171939</xdr:rowOff>
    </xdr:from>
    <xdr:to>
      <xdr:col>6</xdr:col>
      <xdr:colOff>494320</xdr:colOff>
      <xdr:row>13</xdr:row>
      <xdr:rowOff>15631</xdr:rowOff>
    </xdr:to>
    <xdr:sp macro="" textlink="">
      <xdr:nvSpPr>
        <xdr:cNvPr id="20" name="向下箭號 19"/>
        <xdr:cNvSpPr/>
      </xdr:nvSpPr>
      <xdr:spPr>
        <a:xfrm>
          <a:off x="5414523" y="1461477"/>
          <a:ext cx="159797" cy="27353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6</xdr:col>
      <xdr:colOff>320846</xdr:colOff>
      <xdr:row>15</xdr:row>
      <xdr:rowOff>31261</xdr:rowOff>
    </xdr:from>
    <xdr:to>
      <xdr:col>6</xdr:col>
      <xdr:colOff>480643</xdr:colOff>
      <xdr:row>16</xdr:row>
      <xdr:rowOff>89877</xdr:rowOff>
    </xdr:to>
    <xdr:sp macro="" textlink="">
      <xdr:nvSpPr>
        <xdr:cNvPr id="21" name="向下箭號 20"/>
        <xdr:cNvSpPr/>
      </xdr:nvSpPr>
      <xdr:spPr>
        <a:xfrm>
          <a:off x="5400846" y="2180492"/>
          <a:ext cx="159797" cy="27353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6</xdr:col>
      <xdr:colOff>336477</xdr:colOff>
      <xdr:row>19</xdr:row>
      <xdr:rowOff>76199</xdr:rowOff>
    </xdr:from>
    <xdr:to>
      <xdr:col>6</xdr:col>
      <xdr:colOff>496274</xdr:colOff>
      <xdr:row>20</xdr:row>
      <xdr:rowOff>134815</xdr:rowOff>
    </xdr:to>
    <xdr:sp macro="" textlink="">
      <xdr:nvSpPr>
        <xdr:cNvPr id="22" name="向下箭號 21"/>
        <xdr:cNvSpPr/>
      </xdr:nvSpPr>
      <xdr:spPr>
        <a:xfrm>
          <a:off x="5416477" y="3085122"/>
          <a:ext cx="159797" cy="27353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3</xdr:col>
      <xdr:colOff>422869</xdr:colOff>
      <xdr:row>24</xdr:row>
      <xdr:rowOff>37579</xdr:rowOff>
    </xdr:from>
    <xdr:to>
      <xdr:col>5</xdr:col>
      <xdr:colOff>123741</xdr:colOff>
      <xdr:row>25</xdr:row>
      <xdr:rowOff>33322</xdr:rowOff>
    </xdr:to>
    <xdr:sp macro="" textlink="">
      <xdr:nvSpPr>
        <xdr:cNvPr id="24" name="向下箭號 23"/>
        <xdr:cNvSpPr/>
      </xdr:nvSpPr>
      <xdr:spPr>
        <a:xfrm rot="3437837">
          <a:off x="5052587" y="4840053"/>
          <a:ext cx="210666" cy="922026"/>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5</xdr:col>
      <xdr:colOff>637087</xdr:colOff>
      <xdr:row>23</xdr:row>
      <xdr:rowOff>100581</xdr:rowOff>
    </xdr:from>
    <xdr:to>
      <xdr:col>6</xdr:col>
      <xdr:colOff>41792</xdr:colOff>
      <xdr:row>26</xdr:row>
      <xdr:rowOff>79337</xdr:rowOff>
    </xdr:to>
    <xdr:sp macro="" textlink="">
      <xdr:nvSpPr>
        <xdr:cNvPr id="25" name="向下箭號 24"/>
        <xdr:cNvSpPr/>
      </xdr:nvSpPr>
      <xdr:spPr>
        <a:xfrm rot="2137311">
          <a:off x="6132279" y="5043812"/>
          <a:ext cx="210667" cy="623525"/>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7</xdr:col>
      <xdr:colOff>234885</xdr:colOff>
      <xdr:row>24</xdr:row>
      <xdr:rowOff>123732</xdr:rowOff>
    </xdr:from>
    <xdr:to>
      <xdr:col>8</xdr:col>
      <xdr:colOff>247833</xdr:colOff>
      <xdr:row>25</xdr:row>
      <xdr:rowOff>119963</xdr:rowOff>
    </xdr:to>
    <xdr:sp macro="" textlink="">
      <xdr:nvSpPr>
        <xdr:cNvPr id="26" name="向下箭號 25"/>
        <xdr:cNvSpPr/>
      </xdr:nvSpPr>
      <xdr:spPr>
        <a:xfrm rot="18817089">
          <a:off x="6104569" y="4010961"/>
          <a:ext cx="211579" cy="620340"/>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8</xdr:col>
      <xdr:colOff>77431</xdr:colOff>
      <xdr:row>17</xdr:row>
      <xdr:rowOff>62417</xdr:rowOff>
    </xdr:from>
    <xdr:to>
      <xdr:col>9</xdr:col>
      <xdr:colOff>355883</xdr:colOff>
      <xdr:row>18</xdr:row>
      <xdr:rowOff>52135</xdr:rowOff>
    </xdr:to>
    <xdr:sp macro="" textlink="">
      <xdr:nvSpPr>
        <xdr:cNvPr id="29" name="向下箭號 28"/>
        <xdr:cNvSpPr/>
      </xdr:nvSpPr>
      <xdr:spPr>
        <a:xfrm rot="16200000">
          <a:off x="7909834" y="3424157"/>
          <a:ext cx="207432" cy="886238"/>
        </a:xfrm>
        <a:prstGeom prst="downArrow">
          <a:avLst/>
        </a:prstGeom>
        <a:no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10</xdr:col>
      <xdr:colOff>594759</xdr:colOff>
      <xdr:row>20</xdr:row>
      <xdr:rowOff>38037</xdr:rowOff>
    </xdr:from>
    <xdr:to>
      <xdr:col>11</xdr:col>
      <xdr:colOff>188824</xdr:colOff>
      <xdr:row>21</xdr:row>
      <xdr:rowOff>156308</xdr:rowOff>
    </xdr:to>
    <xdr:sp macro="" textlink="">
      <xdr:nvSpPr>
        <xdr:cNvPr id="30" name="向下箭號 29"/>
        <xdr:cNvSpPr/>
      </xdr:nvSpPr>
      <xdr:spPr>
        <a:xfrm>
          <a:off x="9948797" y="4336499"/>
          <a:ext cx="204642" cy="333194"/>
        </a:xfrm>
        <a:prstGeom prst="downArrow">
          <a:avLst/>
        </a:prstGeom>
        <a:no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10</xdr:col>
      <xdr:colOff>564150</xdr:colOff>
      <xdr:row>24</xdr:row>
      <xdr:rowOff>161192</xdr:rowOff>
    </xdr:from>
    <xdr:to>
      <xdr:col>11</xdr:col>
      <xdr:colOff>164663</xdr:colOff>
      <xdr:row>26</xdr:row>
      <xdr:rowOff>76738</xdr:rowOff>
    </xdr:to>
    <xdr:sp macro="" textlink="">
      <xdr:nvSpPr>
        <xdr:cNvPr id="31" name="向下箭號 30"/>
        <xdr:cNvSpPr/>
      </xdr:nvSpPr>
      <xdr:spPr>
        <a:xfrm>
          <a:off x="9918188" y="5319346"/>
          <a:ext cx="211090" cy="345392"/>
        </a:xfrm>
        <a:prstGeom prst="downArrow">
          <a:avLst/>
        </a:prstGeom>
        <a:noFill/>
        <a:ln>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xdr:col>
      <xdr:colOff>234166</xdr:colOff>
      <xdr:row>0</xdr:row>
      <xdr:rowOff>191388</xdr:rowOff>
    </xdr:from>
    <xdr:to>
      <xdr:col>4</xdr:col>
      <xdr:colOff>535383</xdr:colOff>
      <xdr:row>5</xdr:row>
      <xdr:rowOff>158824</xdr:rowOff>
    </xdr:to>
    <xdr:sp macro="" textlink="">
      <xdr:nvSpPr>
        <xdr:cNvPr id="2" name="文字方塊 1"/>
        <xdr:cNvSpPr txBox="1"/>
      </xdr:nvSpPr>
      <xdr:spPr>
        <a:xfrm>
          <a:off x="234166" y="191388"/>
          <a:ext cx="1525035" cy="10642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註：</a:t>
          </a:r>
          <a:endParaRPr lang="en-US" altLang="zh-TW" sz="1100"/>
        </a:p>
        <a:p>
          <a:r>
            <a:rPr lang="zh-TW" altLang="en-US" sz="1100"/>
            <a:t>藍色數字可以自行手動更動</a:t>
          </a:r>
          <a:endParaRPr lang="en-US" altLang="zh-TW" sz="1100"/>
        </a:p>
        <a:p>
          <a:r>
            <a:rPr lang="zh-TW" altLang="en-US" sz="1100"/>
            <a:t>黑色數字不可更動或為公式計算</a:t>
          </a:r>
        </a:p>
      </xdr:txBody>
    </xdr:sp>
    <xdr:clientData/>
  </xdr:twoCellAnchor>
  <xdr:twoCellAnchor>
    <xdr:from>
      <xdr:col>5</xdr:col>
      <xdr:colOff>578012</xdr:colOff>
      <xdr:row>2</xdr:row>
      <xdr:rowOff>73269</xdr:rowOff>
    </xdr:from>
    <xdr:to>
      <xdr:col>7</xdr:col>
      <xdr:colOff>434575</xdr:colOff>
      <xdr:row>4</xdr:row>
      <xdr:rowOff>141997</xdr:rowOff>
    </xdr:to>
    <xdr:sp macro="" textlink="">
      <xdr:nvSpPr>
        <xdr:cNvPr id="23" name="文字方塊 22"/>
        <xdr:cNvSpPr txBox="1"/>
      </xdr:nvSpPr>
      <xdr:spPr>
        <a:xfrm>
          <a:off x="6683781" y="512884"/>
          <a:ext cx="1273102" cy="508344"/>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100"/>
            <a:t>浮動損益</a:t>
          </a:r>
        </a:p>
      </xdr:txBody>
    </xdr:sp>
    <xdr:clientData/>
  </xdr:twoCellAnchor>
  <xdr:twoCellAnchor>
    <xdr:from>
      <xdr:col>6</xdr:col>
      <xdr:colOff>368716</xdr:colOff>
      <xdr:row>4</xdr:row>
      <xdr:rowOff>180246</xdr:rowOff>
    </xdr:from>
    <xdr:to>
      <xdr:col>6</xdr:col>
      <xdr:colOff>528513</xdr:colOff>
      <xdr:row>6</xdr:row>
      <xdr:rowOff>30289</xdr:rowOff>
    </xdr:to>
    <xdr:sp macro="" textlink="">
      <xdr:nvSpPr>
        <xdr:cNvPr id="27" name="向下箭號 26"/>
        <xdr:cNvSpPr/>
      </xdr:nvSpPr>
      <xdr:spPr>
        <a:xfrm>
          <a:off x="7280447" y="1059477"/>
          <a:ext cx="159797" cy="28965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9</xdr:col>
      <xdr:colOff>500415</xdr:colOff>
      <xdr:row>21</xdr:row>
      <xdr:rowOff>213949</xdr:rowOff>
    </xdr:from>
    <xdr:to>
      <xdr:col>12</xdr:col>
      <xdr:colOff>355142</xdr:colOff>
      <xdr:row>24</xdr:row>
      <xdr:rowOff>60054</xdr:rowOff>
    </xdr:to>
    <xdr:sp macro="" textlink="">
      <xdr:nvSpPr>
        <xdr:cNvPr id="28" name="文字方塊 27"/>
        <xdr:cNvSpPr txBox="1"/>
      </xdr:nvSpPr>
      <xdr:spPr>
        <a:xfrm>
          <a:off x="9243877" y="4727334"/>
          <a:ext cx="1686457" cy="490874"/>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t>按下利息試算</a:t>
          </a:r>
          <a:endParaRPr lang="en-US" altLang="zh-TW" sz="1800"/>
        </a:p>
      </xdr:txBody>
    </xdr:sp>
    <xdr:clientData/>
  </xdr:twoCellAnchor>
  <xdr:twoCellAnchor>
    <xdr:from>
      <xdr:col>14</xdr:col>
      <xdr:colOff>539651</xdr:colOff>
      <xdr:row>5</xdr:row>
      <xdr:rowOff>211967</xdr:rowOff>
    </xdr:from>
    <xdr:to>
      <xdr:col>17</xdr:col>
      <xdr:colOff>138549</xdr:colOff>
      <xdr:row>8</xdr:row>
      <xdr:rowOff>80817</xdr:rowOff>
    </xdr:to>
    <xdr:sp macro="" textlink="">
      <xdr:nvSpPr>
        <xdr:cNvPr id="32" name="文字方塊 31"/>
        <xdr:cNvSpPr txBox="1"/>
      </xdr:nvSpPr>
      <xdr:spPr>
        <a:xfrm>
          <a:off x="8078833" y="1308785"/>
          <a:ext cx="1434625" cy="52694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400"/>
            <a:t>1.</a:t>
          </a:r>
          <a:r>
            <a:rPr lang="zh-TW" altLang="en-US" sz="1400"/>
            <a:t>選擇貨幣</a:t>
          </a:r>
          <a:endParaRPr lang="en-US" altLang="zh-TW" sz="1400"/>
        </a:p>
      </xdr:txBody>
    </xdr:sp>
    <xdr:clientData/>
  </xdr:twoCellAnchor>
  <xdr:twoCellAnchor>
    <xdr:from>
      <xdr:col>14</xdr:col>
      <xdr:colOff>573471</xdr:colOff>
      <xdr:row>10</xdr:row>
      <xdr:rowOff>22351</xdr:rowOff>
    </xdr:from>
    <xdr:to>
      <xdr:col>17</xdr:col>
      <xdr:colOff>39801</xdr:colOff>
      <xdr:row>11</xdr:row>
      <xdr:rowOff>190914</xdr:rowOff>
    </xdr:to>
    <mc:AlternateContent xmlns:mc="http://schemas.openxmlformats.org/markup-compatibility/2006" xmlns:a14="http://schemas.microsoft.com/office/drawing/2010/main">
      <mc:Choice Requires="a14">
        <xdr:sp macro="" textlink="">
          <xdr:nvSpPr>
            <xdr:cNvPr id="34" name="文字方塊 33"/>
            <xdr:cNvSpPr txBox="1"/>
          </xdr:nvSpPr>
          <xdr:spPr>
            <a:xfrm>
              <a:off x="8112653" y="2215987"/>
              <a:ext cx="1302057" cy="38792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2.</a:t>
              </a:r>
              <a:r>
                <a:rPr lang="zh-TW" altLang="en-US" sz="1100"/>
                <a:t>輸入手數</a:t>
              </a:r>
              <a14:m>
                <m:oMath xmlns:m="http://schemas.openxmlformats.org/officeDocument/2006/math">
                  <m:r>
                    <a:rPr lang="zh-TW" altLang="en-US" sz="1100" i="1">
                      <a:latin typeface="Cambria Math" panose="02040503050406030204" pitchFamily="18" charset="0"/>
                    </a:rPr>
                    <m:t>≥</m:t>
                  </m:r>
                  <m:r>
                    <a:rPr lang="en-US" altLang="zh-TW" sz="1100" b="0" i="1">
                      <a:latin typeface="Cambria Math" panose="02040503050406030204" pitchFamily="18" charset="0"/>
                    </a:rPr>
                    <m:t>0.01</m:t>
                  </m:r>
                </m:oMath>
              </a14:m>
              <a:endParaRPr lang="en-US" altLang="zh-TW" sz="1100"/>
            </a:p>
          </xdr:txBody>
        </xdr:sp>
      </mc:Choice>
      <mc:Fallback xmlns="">
        <xdr:sp macro="" textlink="">
          <xdr:nvSpPr>
            <xdr:cNvPr id="34" name="文字方塊 33"/>
            <xdr:cNvSpPr txBox="1"/>
          </xdr:nvSpPr>
          <xdr:spPr>
            <a:xfrm>
              <a:off x="8112653" y="2215987"/>
              <a:ext cx="1302057" cy="38792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2.</a:t>
              </a:r>
              <a:r>
                <a:rPr lang="zh-TW" altLang="en-US" sz="1100"/>
                <a:t>輸入手數</a:t>
              </a:r>
              <a:r>
                <a:rPr lang="zh-TW" altLang="en-US" sz="1100" i="0">
                  <a:latin typeface="Cambria Math" panose="02040503050406030204" pitchFamily="18" charset="0"/>
                </a:rPr>
                <a:t>≥</a:t>
              </a:r>
              <a:r>
                <a:rPr lang="en-US" altLang="zh-TW" sz="1100" b="0" i="0">
                  <a:latin typeface="Cambria Math" panose="02040503050406030204" pitchFamily="18" charset="0"/>
                </a:rPr>
                <a:t>0.01</a:t>
              </a:r>
              <a:endParaRPr lang="en-US" altLang="zh-TW" sz="1100"/>
            </a:p>
          </xdr:txBody>
        </xdr:sp>
      </mc:Fallback>
    </mc:AlternateContent>
    <xdr:clientData/>
  </xdr:twoCellAnchor>
  <xdr:twoCellAnchor>
    <xdr:from>
      <xdr:col>14</xdr:col>
      <xdr:colOff>464399</xdr:colOff>
      <xdr:row>13</xdr:row>
      <xdr:rowOff>70161</xdr:rowOff>
    </xdr:from>
    <xdr:to>
      <xdr:col>17</xdr:col>
      <xdr:colOff>204152</xdr:colOff>
      <xdr:row>15</xdr:row>
      <xdr:rowOff>205854</xdr:rowOff>
    </xdr:to>
    <mc:AlternateContent xmlns:mc="http://schemas.openxmlformats.org/markup-compatibility/2006" xmlns:a14="http://schemas.microsoft.com/office/drawing/2010/main">
      <mc:Choice Requires="a14">
        <xdr:sp macro="" textlink="">
          <xdr:nvSpPr>
            <xdr:cNvPr id="35" name="文字方塊 34"/>
            <xdr:cNvSpPr txBox="1"/>
          </xdr:nvSpPr>
          <xdr:spPr>
            <a:xfrm>
              <a:off x="8003581" y="2921888"/>
              <a:ext cx="1575480" cy="57442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3.</a:t>
              </a:r>
              <a:r>
                <a:rPr lang="zh-TW" altLang="en-US" sz="1100"/>
                <a:t>輸入槓桿倍數</a:t>
              </a:r>
              <a:endParaRPr lang="en-US" altLang="zh-TW" sz="1100"/>
            </a:p>
            <a:p>
              <a:pPr algn="ctr"/>
              <a:r>
                <a:rPr lang="zh-TW" altLang="en-US" sz="1100"/>
                <a:t>   </a:t>
              </a:r>
              <a14:m>
                <m:oMath xmlns:m="http://schemas.openxmlformats.org/officeDocument/2006/math">
                  <m:r>
                    <a:rPr lang="en-US" altLang="zh-TW" sz="1100" b="0" i="0">
                      <a:latin typeface="Cambria Math" panose="02040503050406030204" pitchFamily="18" charset="0"/>
                    </a:rPr>
                    <m:t>100</m:t>
                  </m:r>
                  <m:r>
                    <a:rPr lang="zh-TW" altLang="en-US" sz="1100" i="1">
                      <a:latin typeface="Cambria Math" panose="02040503050406030204" pitchFamily="18" charset="0"/>
                    </a:rPr>
                    <m:t>≥</m:t>
                  </m:r>
                  <m:r>
                    <a:rPr lang="zh-TW" altLang="en-US" sz="1100" i="1">
                      <a:latin typeface="Cambria Math" panose="02040503050406030204" pitchFamily="18" charset="0"/>
                    </a:rPr>
                    <m:t>槓桿倍數</m:t>
                  </m:r>
                  <m:r>
                    <a:rPr lang="zh-TW" altLang="en-US" sz="1100" i="1">
                      <a:latin typeface="Cambria Math" panose="02040503050406030204" pitchFamily="18" charset="0"/>
                    </a:rPr>
                    <m:t>≥</m:t>
                  </m:r>
                </m:oMath>
              </a14:m>
              <a:r>
                <a:rPr lang="en-US" altLang="zh-TW" sz="1100"/>
                <a:t>40</a:t>
              </a:r>
            </a:p>
          </xdr:txBody>
        </xdr:sp>
      </mc:Choice>
      <mc:Fallback xmlns="">
        <xdr:sp macro="" textlink="">
          <xdr:nvSpPr>
            <xdr:cNvPr id="35" name="文字方塊 34"/>
            <xdr:cNvSpPr txBox="1"/>
          </xdr:nvSpPr>
          <xdr:spPr>
            <a:xfrm>
              <a:off x="8003581" y="2921888"/>
              <a:ext cx="1575480" cy="57442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3.</a:t>
              </a:r>
              <a:r>
                <a:rPr lang="zh-TW" altLang="en-US" sz="1100"/>
                <a:t>輸入槓桿倍數</a:t>
              </a:r>
              <a:endParaRPr lang="en-US" altLang="zh-TW" sz="1100"/>
            </a:p>
            <a:p>
              <a:pPr algn="ctr"/>
              <a:r>
                <a:rPr lang="zh-TW" altLang="en-US" sz="1100"/>
                <a:t>   </a:t>
              </a:r>
              <a:r>
                <a:rPr lang="en-US" altLang="zh-TW" sz="1100" b="0" i="0">
                  <a:latin typeface="Cambria Math" panose="02040503050406030204" pitchFamily="18" charset="0"/>
                </a:rPr>
                <a:t>100</a:t>
              </a:r>
              <a:r>
                <a:rPr lang="zh-TW" altLang="en-US" sz="1100" i="0">
                  <a:latin typeface="Cambria Math" panose="02040503050406030204" pitchFamily="18" charset="0"/>
                </a:rPr>
                <a:t>≥槓桿倍數≥</a:t>
              </a:r>
              <a:r>
                <a:rPr lang="en-US" altLang="zh-TW" sz="1100"/>
                <a:t>40</a:t>
              </a:r>
            </a:p>
          </xdr:txBody>
        </xdr:sp>
      </mc:Fallback>
    </mc:AlternateContent>
    <xdr:clientData/>
  </xdr:twoCellAnchor>
  <xdr:twoCellAnchor>
    <xdr:from>
      <xdr:col>14</xdr:col>
      <xdr:colOff>430036</xdr:colOff>
      <xdr:row>18</xdr:row>
      <xdr:rowOff>215292</xdr:rowOff>
    </xdr:from>
    <xdr:to>
      <xdr:col>17</xdr:col>
      <xdr:colOff>285650</xdr:colOff>
      <xdr:row>21</xdr:row>
      <xdr:rowOff>59749</xdr:rowOff>
    </xdr:to>
    <xdr:sp macro="" textlink="">
      <xdr:nvSpPr>
        <xdr:cNvPr id="36" name="文字方塊 35"/>
        <xdr:cNvSpPr txBox="1"/>
      </xdr:nvSpPr>
      <xdr:spPr>
        <a:xfrm>
          <a:off x="9181491" y="4163837"/>
          <a:ext cx="1691341" cy="502548"/>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400"/>
            <a:t>按下保證金試算</a:t>
          </a:r>
          <a:endParaRPr lang="en-US" altLang="zh-TW" sz="1400"/>
        </a:p>
      </xdr:txBody>
    </xdr:sp>
    <xdr:clientData/>
  </xdr:twoCellAnchor>
  <xdr:twoCellAnchor>
    <xdr:from>
      <xdr:col>14</xdr:col>
      <xdr:colOff>495310</xdr:colOff>
      <xdr:row>29</xdr:row>
      <xdr:rowOff>215514</xdr:rowOff>
    </xdr:from>
    <xdr:to>
      <xdr:col>17</xdr:col>
      <xdr:colOff>240419</xdr:colOff>
      <xdr:row>32</xdr:row>
      <xdr:rowOff>179309</xdr:rowOff>
    </xdr:to>
    <xdr:sp macro="" textlink="">
      <xdr:nvSpPr>
        <xdr:cNvPr id="39" name="文字方塊 38"/>
        <xdr:cNvSpPr txBox="1"/>
      </xdr:nvSpPr>
      <xdr:spPr>
        <a:xfrm>
          <a:off x="9246765" y="6577059"/>
          <a:ext cx="1580836" cy="62188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400"/>
            <a:t>需要保證金金額</a:t>
          </a:r>
          <a:endParaRPr lang="en-US" altLang="zh-TW" sz="1400"/>
        </a:p>
        <a:p>
          <a:pPr algn="ctr"/>
          <a:r>
            <a:rPr lang="zh-TW" altLang="en-US" sz="1400"/>
            <a:t>美元 台幣</a:t>
          </a:r>
        </a:p>
      </xdr:txBody>
    </xdr:sp>
    <xdr:clientData/>
  </xdr:twoCellAnchor>
  <xdr:twoCellAnchor>
    <xdr:from>
      <xdr:col>15</xdr:col>
      <xdr:colOff>541905</xdr:colOff>
      <xdr:row>8</xdr:row>
      <xdr:rowOff>66065</xdr:rowOff>
    </xdr:from>
    <xdr:to>
      <xdr:col>16</xdr:col>
      <xdr:colOff>89793</xdr:colOff>
      <xdr:row>9</xdr:row>
      <xdr:rowOff>129566</xdr:rowOff>
    </xdr:to>
    <xdr:sp macro="" textlink="">
      <xdr:nvSpPr>
        <xdr:cNvPr id="40" name="向下箭號 39"/>
        <xdr:cNvSpPr/>
      </xdr:nvSpPr>
      <xdr:spPr>
        <a:xfrm>
          <a:off x="8692996" y="1820974"/>
          <a:ext cx="159797" cy="282865"/>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15</xdr:col>
      <xdr:colOff>524320</xdr:colOff>
      <xdr:row>11</xdr:row>
      <xdr:rowOff>214705</xdr:rowOff>
    </xdr:from>
    <xdr:to>
      <xdr:col>16</xdr:col>
      <xdr:colOff>72208</xdr:colOff>
      <xdr:row>13</xdr:row>
      <xdr:rowOff>53957</xdr:rowOff>
    </xdr:to>
    <xdr:sp macro="" textlink="">
      <xdr:nvSpPr>
        <xdr:cNvPr id="42" name="向下箭號 41"/>
        <xdr:cNvSpPr/>
      </xdr:nvSpPr>
      <xdr:spPr>
        <a:xfrm>
          <a:off x="8675411" y="2627705"/>
          <a:ext cx="159797" cy="27797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14</xdr:col>
      <xdr:colOff>585213</xdr:colOff>
      <xdr:row>1</xdr:row>
      <xdr:rowOff>210530</xdr:rowOff>
    </xdr:from>
    <xdr:to>
      <xdr:col>17</xdr:col>
      <xdr:colOff>26140</xdr:colOff>
      <xdr:row>4</xdr:row>
      <xdr:rowOff>59895</xdr:rowOff>
    </xdr:to>
    <xdr:sp macro="" textlink="">
      <xdr:nvSpPr>
        <xdr:cNvPr id="47" name="文字方塊 46"/>
        <xdr:cNvSpPr txBox="1"/>
      </xdr:nvSpPr>
      <xdr:spPr>
        <a:xfrm>
          <a:off x="8124395" y="429894"/>
          <a:ext cx="1276654" cy="507456"/>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100"/>
            <a:t>保證金試算</a:t>
          </a:r>
        </a:p>
      </xdr:txBody>
    </xdr:sp>
    <xdr:clientData/>
  </xdr:twoCellAnchor>
  <xdr:twoCellAnchor>
    <xdr:from>
      <xdr:col>15</xdr:col>
      <xdr:colOff>572190</xdr:colOff>
      <xdr:row>4</xdr:row>
      <xdr:rowOff>98144</xdr:rowOff>
    </xdr:from>
    <xdr:to>
      <xdr:col>16</xdr:col>
      <xdr:colOff>120078</xdr:colOff>
      <xdr:row>5</xdr:row>
      <xdr:rowOff>167551</xdr:rowOff>
    </xdr:to>
    <xdr:sp macro="" textlink="">
      <xdr:nvSpPr>
        <xdr:cNvPr id="48" name="向下箭號 47"/>
        <xdr:cNvSpPr/>
      </xdr:nvSpPr>
      <xdr:spPr>
        <a:xfrm>
          <a:off x="8723281" y="975599"/>
          <a:ext cx="159797" cy="288770"/>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15</xdr:col>
      <xdr:colOff>478693</xdr:colOff>
      <xdr:row>16</xdr:row>
      <xdr:rowOff>34194</xdr:rowOff>
    </xdr:from>
    <xdr:to>
      <xdr:col>16</xdr:col>
      <xdr:colOff>92363</xdr:colOff>
      <xdr:row>18</xdr:row>
      <xdr:rowOff>127000</xdr:rowOff>
    </xdr:to>
    <xdr:sp macro="" textlink="">
      <xdr:nvSpPr>
        <xdr:cNvPr id="50" name="向下箭號 49"/>
        <xdr:cNvSpPr/>
      </xdr:nvSpPr>
      <xdr:spPr>
        <a:xfrm>
          <a:off x="9842057" y="3544012"/>
          <a:ext cx="225579" cy="531533"/>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19</xdr:col>
      <xdr:colOff>507326</xdr:colOff>
      <xdr:row>6</xdr:row>
      <xdr:rowOff>41092</xdr:rowOff>
    </xdr:from>
    <xdr:to>
      <xdr:col>22</xdr:col>
      <xdr:colOff>106223</xdr:colOff>
      <xdr:row>8</xdr:row>
      <xdr:rowOff>129306</xdr:rowOff>
    </xdr:to>
    <xdr:sp macro="" textlink="">
      <xdr:nvSpPr>
        <xdr:cNvPr id="51" name="文字方塊 50"/>
        <xdr:cNvSpPr txBox="1"/>
      </xdr:nvSpPr>
      <xdr:spPr>
        <a:xfrm>
          <a:off x="11106053" y="1357274"/>
          <a:ext cx="1434625" cy="52694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a:t>1.</a:t>
          </a:r>
          <a:r>
            <a:rPr lang="zh-TW" altLang="en-US" sz="1600"/>
            <a:t>選擇貨幣</a:t>
          </a:r>
        </a:p>
      </xdr:txBody>
    </xdr:sp>
    <xdr:clientData/>
  </xdr:twoCellAnchor>
  <xdr:twoCellAnchor>
    <xdr:from>
      <xdr:col>19</xdr:col>
      <xdr:colOff>541146</xdr:colOff>
      <xdr:row>10</xdr:row>
      <xdr:rowOff>70840</xdr:rowOff>
    </xdr:from>
    <xdr:to>
      <xdr:col>22</xdr:col>
      <xdr:colOff>7475</xdr:colOff>
      <xdr:row>12</xdr:row>
      <xdr:rowOff>20039</xdr:rowOff>
    </xdr:to>
    <xdr:sp macro="" textlink="">
      <xdr:nvSpPr>
        <xdr:cNvPr id="52" name="文字方塊 51"/>
        <xdr:cNvSpPr txBox="1"/>
      </xdr:nvSpPr>
      <xdr:spPr>
        <a:xfrm>
          <a:off x="11139873" y="2264476"/>
          <a:ext cx="1302057" cy="38792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2.</a:t>
          </a:r>
          <a:r>
            <a:rPr lang="zh-TW" altLang="en-US" sz="1100"/>
            <a:t>輸入進場價格</a:t>
          </a:r>
          <a:endParaRPr lang="en-US" altLang="zh-TW" sz="1100"/>
        </a:p>
      </xdr:txBody>
    </xdr:sp>
    <xdr:clientData/>
  </xdr:twoCellAnchor>
  <xdr:twoCellAnchor>
    <xdr:from>
      <xdr:col>19</xdr:col>
      <xdr:colOff>432074</xdr:colOff>
      <xdr:row>13</xdr:row>
      <xdr:rowOff>118650</xdr:rowOff>
    </xdr:from>
    <xdr:to>
      <xdr:col>22</xdr:col>
      <xdr:colOff>171826</xdr:colOff>
      <xdr:row>16</xdr:row>
      <xdr:rowOff>34980</xdr:rowOff>
    </xdr:to>
    <xdr:sp macro="" textlink="">
      <xdr:nvSpPr>
        <xdr:cNvPr id="53" name="文字方塊 52"/>
        <xdr:cNvSpPr txBox="1"/>
      </xdr:nvSpPr>
      <xdr:spPr>
        <a:xfrm>
          <a:off x="11030801" y="2970377"/>
          <a:ext cx="1575480" cy="57442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100"/>
            <a:t>3.</a:t>
          </a:r>
          <a:r>
            <a:rPr lang="zh-TW" altLang="en-US" sz="1100"/>
            <a:t>輸入出場價格</a:t>
          </a:r>
          <a:endParaRPr lang="en-US" altLang="zh-TW" sz="1100"/>
        </a:p>
      </xdr:txBody>
    </xdr:sp>
    <xdr:clientData/>
  </xdr:twoCellAnchor>
  <xdr:twoCellAnchor>
    <xdr:from>
      <xdr:col>19</xdr:col>
      <xdr:colOff>397711</xdr:colOff>
      <xdr:row>18</xdr:row>
      <xdr:rowOff>102130</xdr:rowOff>
    </xdr:from>
    <xdr:to>
      <xdr:col>22</xdr:col>
      <xdr:colOff>253324</xdr:colOff>
      <xdr:row>20</xdr:row>
      <xdr:rowOff>165950</xdr:rowOff>
    </xdr:to>
    <xdr:sp macro="" textlink="">
      <xdr:nvSpPr>
        <xdr:cNvPr id="54" name="文字方塊 53"/>
        <xdr:cNvSpPr txBox="1"/>
      </xdr:nvSpPr>
      <xdr:spPr>
        <a:xfrm>
          <a:off x="14656347" y="4050675"/>
          <a:ext cx="1691341" cy="502548"/>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400"/>
            <a:t>按下損益試算</a:t>
          </a:r>
          <a:endParaRPr lang="en-US" altLang="zh-TW" sz="1400"/>
        </a:p>
      </xdr:txBody>
    </xdr:sp>
    <xdr:clientData/>
  </xdr:twoCellAnchor>
  <xdr:twoCellAnchor>
    <xdr:from>
      <xdr:col>19</xdr:col>
      <xdr:colOff>405258</xdr:colOff>
      <xdr:row>28</xdr:row>
      <xdr:rowOff>194716</xdr:rowOff>
    </xdr:from>
    <xdr:to>
      <xdr:col>22</xdr:col>
      <xdr:colOff>150366</xdr:colOff>
      <xdr:row>31</xdr:row>
      <xdr:rowOff>158511</xdr:rowOff>
    </xdr:to>
    <xdr:sp macro="" textlink="">
      <xdr:nvSpPr>
        <xdr:cNvPr id="55" name="文字方塊 54"/>
        <xdr:cNvSpPr txBox="1"/>
      </xdr:nvSpPr>
      <xdr:spPr>
        <a:xfrm>
          <a:off x="11003985" y="6336898"/>
          <a:ext cx="1580836" cy="62188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100"/>
            <a:t>計算出損益</a:t>
          </a:r>
          <a:endParaRPr lang="en-US" altLang="zh-TW" sz="1100"/>
        </a:p>
        <a:p>
          <a:r>
            <a:rPr lang="en-US" altLang="zh-TW" sz="1100"/>
            <a:t>(</a:t>
          </a:r>
          <a:r>
            <a:rPr lang="zh-TW" altLang="en-US" sz="1100"/>
            <a:t>美元、台幣</a:t>
          </a:r>
          <a:r>
            <a:rPr lang="en-US" altLang="zh-TW" sz="1100"/>
            <a:t>)</a:t>
          </a:r>
          <a:endParaRPr lang="zh-TW" altLang="en-US" sz="1100"/>
        </a:p>
      </xdr:txBody>
    </xdr:sp>
    <xdr:clientData/>
  </xdr:twoCellAnchor>
  <xdr:twoCellAnchor>
    <xdr:from>
      <xdr:col>20</xdr:col>
      <xdr:colOff>509580</xdr:colOff>
      <xdr:row>8</xdr:row>
      <xdr:rowOff>114554</xdr:rowOff>
    </xdr:from>
    <xdr:to>
      <xdr:col>21</xdr:col>
      <xdr:colOff>57468</xdr:colOff>
      <xdr:row>9</xdr:row>
      <xdr:rowOff>178055</xdr:rowOff>
    </xdr:to>
    <xdr:sp macro="" textlink="">
      <xdr:nvSpPr>
        <xdr:cNvPr id="56" name="向下箭號 55"/>
        <xdr:cNvSpPr/>
      </xdr:nvSpPr>
      <xdr:spPr>
        <a:xfrm>
          <a:off x="11720216" y="1869463"/>
          <a:ext cx="159797" cy="282865"/>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20</xdr:col>
      <xdr:colOff>491995</xdr:colOff>
      <xdr:row>12</xdr:row>
      <xdr:rowOff>43830</xdr:rowOff>
    </xdr:from>
    <xdr:to>
      <xdr:col>21</xdr:col>
      <xdr:colOff>39883</xdr:colOff>
      <xdr:row>13</xdr:row>
      <xdr:rowOff>102446</xdr:rowOff>
    </xdr:to>
    <xdr:sp macro="" textlink="">
      <xdr:nvSpPr>
        <xdr:cNvPr id="57" name="向下箭號 56"/>
        <xdr:cNvSpPr/>
      </xdr:nvSpPr>
      <xdr:spPr>
        <a:xfrm>
          <a:off x="11702631" y="2676194"/>
          <a:ext cx="159797" cy="277979"/>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20</xdr:col>
      <xdr:colOff>450648</xdr:colOff>
      <xdr:row>16</xdr:row>
      <xdr:rowOff>82335</xdr:rowOff>
    </xdr:from>
    <xdr:to>
      <xdr:col>21</xdr:col>
      <xdr:colOff>52255</xdr:colOff>
      <xdr:row>18</xdr:row>
      <xdr:rowOff>37306</xdr:rowOff>
    </xdr:to>
    <xdr:sp macro="" textlink="">
      <xdr:nvSpPr>
        <xdr:cNvPr id="59" name="向下箭號 58"/>
        <xdr:cNvSpPr/>
      </xdr:nvSpPr>
      <xdr:spPr>
        <a:xfrm>
          <a:off x="15321193" y="3592153"/>
          <a:ext cx="213517" cy="39369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19</xdr:col>
      <xdr:colOff>552888</xdr:colOff>
      <xdr:row>2</xdr:row>
      <xdr:rowOff>39656</xdr:rowOff>
    </xdr:from>
    <xdr:to>
      <xdr:col>21</xdr:col>
      <xdr:colOff>605724</xdr:colOff>
      <xdr:row>4</xdr:row>
      <xdr:rowOff>108384</xdr:rowOff>
    </xdr:to>
    <xdr:sp macro="" textlink="">
      <xdr:nvSpPr>
        <xdr:cNvPr id="60" name="文字方塊 59"/>
        <xdr:cNvSpPr txBox="1"/>
      </xdr:nvSpPr>
      <xdr:spPr>
        <a:xfrm>
          <a:off x="11151615" y="478383"/>
          <a:ext cx="1276654" cy="507456"/>
        </a:xfrm>
        <a:prstGeom prst="rect">
          <a:avLst/>
        </a:prstGeom>
        <a:solidFill>
          <a:schemeClr val="accent2">
            <a:lumMod val="40000"/>
            <a:lumOff val="6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100"/>
            <a:t>損益試算</a:t>
          </a:r>
        </a:p>
      </xdr:txBody>
    </xdr:sp>
    <xdr:clientData/>
  </xdr:twoCellAnchor>
  <xdr:twoCellAnchor>
    <xdr:from>
      <xdr:col>20</xdr:col>
      <xdr:colOff>539865</xdr:colOff>
      <xdr:row>4</xdr:row>
      <xdr:rowOff>146633</xdr:rowOff>
    </xdr:from>
    <xdr:to>
      <xdr:col>21</xdr:col>
      <xdr:colOff>87753</xdr:colOff>
      <xdr:row>5</xdr:row>
      <xdr:rowOff>216040</xdr:rowOff>
    </xdr:to>
    <xdr:sp macro="" textlink="">
      <xdr:nvSpPr>
        <xdr:cNvPr id="61" name="向下箭號 60"/>
        <xdr:cNvSpPr/>
      </xdr:nvSpPr>
      <xdr:spPr>
        <a:xfrm>
          <a:off x="11750501" y="1024088"/>
          <a:ext cx="159797" cy="288770"/>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21</xdr:col>
      <xdr:colOff>181466</xdr:colOff>
      <xdr:row>22</xdr:row>
      <xdr:rowOff>88215</xdr:rowOff>
    </xdr:from>
    <xdr:to>
      <xdr:col>23</xdr:col>
      <xdr:colOff>533807</xdr:colOff>
      <xdr:row>26</xdr:row>
      <xdr:rowOff>175669</xdr:rowOff>
    </xdr:to>
    <xdr:sp macro="" textlink="">
      <xdr:nvSpPr>
        <xdr:cNvPr id="62" name="文字方塊 61"/>
        <xdr:cNvSpPr txBox="1"/>
      </xdr:nvSpPr>
      <xdr:spPr>
        <a:xfrm>
          <a:off x="15566609" y="4877929"/>
          <a:ext cx="1567912" cy="95831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TW" altLang="en-US" sz="1100"/>
            <a:t>計算損益時，皆以按下按鈕當下，各貨幣兌換美元的即時匯率作計算</a:t>
          </a:r>
          <a:endParaRPr lang="en-US" altLang="zh-TW" sz="1100"/>
        </a:p>
      </xdr:txBody>
    </xdr:sp>
    <xdr:clientData/>
  </xdr:twoCellAnchor>
  <xdr:twoCellAnchor>
    <xdr:from>
      <xdr:col>20</xdr:col>
      <xdr:colOff>439900</xdr:colOff>
      <xdr:row>20</xdr:row>
      <xdr:rowOff>216689</xdr:rowOff>
    </xdr:from>
    <xdr:to>
      <xdr:col>21</xdr:col>
      <xdr:colOff>71507</xdr:colOff>
      <xdr:row>28</xdr:row>
      <xdr:rowOff>169958</xdr:rowOff>
    </xdr:to>
    <xdr:sp macro="" textlink="">
      <xdr:nvSpPr>
        <xdr:cNvPr id="63" name="向下箭號 62"/>
        <xdr:cNvSpPr/>
      </xdr:nvSpPr>
      <xdr:spPr>
        <a:xfrm>
          <a:off x="15310445" y="4603962"/>
          <a:ext cx="243517" cy="170817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16</xdr:col>
      <xdr:colOff>204556</xdr:colOff>
      <xdr:row>23</xdr:row>
      <xdr:rowOff>30487</xdr:rowOff>
    </xdr:from>
    <xdr:to>
      <xdr:col>18</xdr:col>
      <xdr:colOff>556897</xdr:colOff>
      <xdr:row>27</xdr:row>
      <xdr:rowOff>117942</xdr:rowOff>
    </xdr:to>
    <xdr:sp macro="" textlink="">
      <xdr:nvSpPr>
        <xdr:cNvPr id="58" name="文字方塊 57"/>
        <xdr:cNvSpPr txBox="1"/>
      </xdr:nvSpPr>
      <xdr:spPr>
        <a:xfrm>
          <a:off x="10179829" y="5075851"/>
          <a:ext cx="1576159" cy="96490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zh-TW" altLang="en-US" sz="1100"/>
            <a:t>計算保證金試算時，皆以按下按鈕當下，各貨幣兌換美元的即時匯率作計算</a:t>
          </a:r>
          <a:endParaRPr lang="en-US" altLang="zh-TW" sz="1100"/>
        </a:p>
      </xdr:txBody>
    </xdr:sp>
    <xdr:clientData/>
  </xdr:twoCellAnchor>
  <xdr:twoCellAnchor>
    <xdr:from>
      <xdr:col>15</xdr:col>
      <xdr:colOff>462990</xdr:colOff>
      <xdr:row>21</xdr:row>
      <xdr:rowOff>158962</xdr:rowOff>
    </xdr:from>
    <xdr:to>
      <xdr:col>16</xdr:col>
      <xdr:colOff>94597</xdr:colOff>
      <xdr:row>29</xdr:row>
      <xdr:rowOff>112231</xdr:rowOff>
    </xdr:to>
    <xdr:sp macro="" textlink="">
      <xdr:nvSpPr>
        <xdr:cNvPr id="64" name="向下箭號 63"/>
        <xdr:cNvSpPr/>
      </xdr:nvSpPr>
      <xdr:spPr>
        <a:xfrm>
          <a:off x="9826354" y="4765598"/>
          <a:ext cx="243516" cy="1708178"/>
        </a:xfrm>
        <a:prstGeom prst="downArrow">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88900</xdr:colOff>
          <xdr:row>9</xdr:row>
          <xdr:rowOff>57150</xdr:rowOff>
        </xdr:from>
        <xdr:to>
          <xdr:col>13</xdr:col>
          <xdr:colOff>127000</xdr:colOff>
          <xdr:row>11</xdr:row>
          <xdr:rowOff>0</xdr:rowOff>
        </xdr:to>
        <xdr:sp macro="" textlink="">
          <xdr:nvSpPr>
            <xdr:cNvPr id="88065" name="CommandButton1" hidden="1">
              <a:extLst>
                <a:ext uri="{63B3BB69-23CF-44E3-9099-C40C66FF867C}">
                  <a14:compatExt spid="_x0000_s88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6</xdr:row>
          <xdr:rowOff>95250</xdr:rowOff>
        </xdr:from>
        <xdr:to>
          <xdr:col>20</xdr:col>
          <xdr:colOff>412750</xdr:colOff>
          <xdr:row>7</xdr:row>
          <xdr:rowOff>203200</xdr:rowOff>
        </xdr:to>
        <xdr:sp macro="" textlink="">
          <xdr:nvSpPr>
            <xdr:cNvPr id="88066" name="CommandButton2" hidden="1">
              <a:extLst>
                <a:ext uri="{63B3BB69-23CF-44E3-9099-C40C66FF867C}">
                  <a14:compatExt spid="_x0000_s88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82550</xdr:colOff>
          <xdr:row>16</xdr:row>
          <xdr:rowOff>76200</xdr:rowOff>
        </xdr:from>
        <xdr:to>
          <xdr:col>20</xdr:col>
          <xdr:colOff>342900</xdr:colOff>
          <xdr:row>17</xdr:row>
          <xdr:rowOff>196850</xdr:rowOff>
        </xdr:to>
        <xdr:sp macro="" textlink="">
          <xdr:nvSpPr>
            <xdr:cNvPr id="88067" name="CommandButton3" hidden="1">
              <a:extLst>
                <a:ext uri="{63B3BB69-23CF-44E3-9099-C40C66FF867C}">
                  <a14:compatExt spid="_x0000_s88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127000</xdr:colOff>
          <xdr:row>20</xdr:row>
          <xdr:rowOff>82550</xdr:rowOff>
        </xdr:from>
        <xdr:to>
          <xdr:col>13</xdr:col>
          <xdr:colOff>158750</xdr:colOff>
          <xdr:row>21</xdr:row>
          <xdr:rowOff>209550</xdr:rowOff>
        </xdr:to>
        <xdr:sp macro="" textlink="">
          <xdr:nvSpPr>
            <xdr:cNvPr id="88068" name="CommandButton4" hidden="1">
              <a:extLst>
                <a:ext uri="{63B3BB69-23CF-44E3-9099-C40C66FF867C}">
                  <a14:compatExt spid="_x0000_s88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82550</xdr:colOff>
          <xdr:row>6</xdr:row>
          <xdr:rowOff>57150</xdr:rowOff>
        </xdr:from>
        <xdr:to>
          <xdr:col>25</xdr:col>
          <xdr:colOff>387350</xdr:colOff>
          <xdr:row>7</xdr:row>
          <xdr:rowOff>209550</xdr:rowOff>
        </xdr:to>
        <xdr:sp macro="" textlink="">
          <xdr:nvSpPr>
            <xdr:cNvPr id="88069" name="CommandButton5" hidden="1">
              <a:extLst>
                <a:ext uri="{63B3BB69-23CF-44E3-9099-C40C66FF867C}">
                  <a14:compatExt spid="_x0000_s88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234950</xdr:colOff>
          <xdr:row>7</xdr:row>
          <xdr:rowOff>152400</xdr:rowOff>
        </xdr:from>
        <xdr:to>
          <xdr:col>11</xdr:col>
          <xdr:colOff>0</xdr:colOff>
          <xdr:row>9</xdr:row>
          <xdr:rowOff>25400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DQII" ddeTopic="FORX">
    <ddeItems>
      <ddeItem name="AUD.101" advise="1"/>
      <ddeItem name="AUD.102" advise="1"/>
      <ddeItem name="AUDGBP.101" advise="1"/>
      <ddeItem name="AUDGBP.102" advise="1"/>
      <ddeItem name="AUDJPY.101" advise="1"/>
      <ddeItem name="AUDJPY.102" advise="1"/>
      <ddeItem name="AUDNZD.101" advise="1"/>
      <ddeItem name="AUDNZD.102" advise="1"/>
      <ddeItem name="CAD.101" advise="1"/>
      <ddeItem name="CAD.102" advise="1"/>
      <ddeItem name="CNY.101" advise="1"/>
      <ddeItem name="CNY.102" advise="1"/>
      <ddeItem name="EUR.101" advise="1"/>
      <ddeItem name="EUR.102" advise="1"/>
      <ddeItem name="EURAUD.101" advise="1"/>
      <ddeItem name="EURAUD.102" advise="1"/>
      <ddeItem name="EURGBP.101" advise="1"/>
      <ddeItem name="EURGBP.102" advise="1"/>
      <ddeItem name="EURJPY.101" advise="1"/>
      <ddeItem name="EURJPY.102" advise="1"/>
      <ddeItem name="GBP.101" advise="1"/>
      <ddeItem name="GBP.102" advise="1"/>
      <ddeItem name="GBPJPY.101" advise="1"/>
      <ddeItem name="GBPJPY.102" advise="1"/>
      <ddeItem name="JPY.101" advise="1"/>
      <ddeItem name="JPY.102" advise="1"/>
      <ddeItem name="NZD.101" advise="1"/>
      <ddeItem name="NZD.102" advise="1"/>
      <ddeItem name="NZDJPY.101" advise="1"/>
      <ddeItem name="NZDJPY.102" advise="1"/>
      <ddeItem name="StdDocumentName" ole="1" advise="1"/>
    </ddeItems>
  </ddeLin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tabColor theme="0" tint="-0.34998626667073579"/>
  </sheetPr>
  <dimension ref="I1:Q62"/>
  <sheetViews>
    <sheetView zoomScale="70" zoomScaleNormal="70" workbookViewId="0">
      <selection activeCell="V61" sqref="V61"/>
    </sheetView>
  </sheetViews>
  <sheetFormatPr defaultColWidth="8.7265625" defaultRowHeight="18" customHeight="1" x14ac:dyDescent="0.4"/>
  <cols>
    <col min="1" max="6" width="8.7265625" style="76"/>
    <col min="7" max="10" width="1.6328125" style="76" customWidth="1"/>
    <col min="11" max="11" width="8.7265625" style="76"/>
    <col min="12" max="12" width="5.26953125" style="76" bestFit="1" customWidth="1"/>
    <col min="13" max="16" width="8.7265625" style="76"/>
    <col min="17" max="17" width="9.453125" style="76" customWidth="1"/>
    <col min="18" max="18" width="3.6328125" style="76" customWidth="1"/>
    <col min="19" max="19" width="11.36328125" style="76" bestFit="1" customWidth="1"/>
    <col min="20" max="20" width="5.26953125" style="76" bestFit="1" customWidth="1"/>
    <col min="21" max="16384" width="8.7265625" style="76"/>
  </cols>
  <sheetData>
    <row r="1" spans="9:17" ht="18" customHeight="1" thickBot="1" x14ac:dyDescent="0.45"/>
    <row r="2" spans="9:17" ht="18" customHeight="1" x14ac:dyDescent="0.4">
      <c r="I2" s="219" t="s">
        <v>38</v>
      </c>
      <c r="J2" s="219"/>
      <c r="K2" s="219"/>
      <c r="L2" s="47"/>
      <c r="M2" s="47"/>
      <c r="N2" s="47"/>
      <c r="O2" s="47"/>
      <c r="P2" s="47"/>
      <c r="Q2" s="47"/>
    </row>
    <row r="3" spans="9:17" ht="18" customHeight="1" x14ac:dyDescent="0.4">
      <c r="I3" s="48"/>
      <c r="J3" s="49"/>
      <c r="K3" s="49"/>
      <c r="L3" s="49"/>
      <c r="M3" s="49"/>
      <c r="N3" s="49"/>
      <c r="O3" s="49"/>
      <c r="P3" s="49"/>
      <c r="Q3" s="49"/>
    </row>
    <row r="4" spans="9:17" ht="18" customHeight="1" x14ac:dyDescent="0.4">
      <c r="I4" s="229" t="s">
        <v>46</v>
      </c>
      <c r="J4" s="230"/>
      <c r="K4" s="230"/>
      <c r="L4" s="50"/>
      <c r="M4" s="221"/>
      <c r="N4" s="221"/>
      <c r="O4" s="221"/>
      <c r="P4" s="221"/>
      <c r="Q4" s="221"/>
    </row>
    <row r="5" spans="9:17" ht="18" customHeight="1" x14ac:dyDescent="0.4">
      <c r="I5" s="221" t="s">
        <v>39</v>
      </c>
      <c r="J5" s="221"/>
      <c r="K5" s="221"/>
      <c r="L5" s="50"/>
      <c r="M5" s="50"/>
      <c r="N5" s="50"/>
      <c r="O5" s="50"/>
      <c r="P5" s="50"/>
      <c r="Q5" s="50"/>
    </row>
    <row r="6" spans="9:17" ht="18" customHeight="1" x14ac:dyDescent="0.4">
      <c r="I6" s="51"/>
      <c r="J6" s="231" t="s">
        <v>328</v>
      </c>
      <c r="K6" s="232"/>
      <c r="L6" s="50"/>
      <c r="M6" s="221" t="s">
        <v>181</v>
      </c>
      <c r="N6" s="221"/>
      <c r="O6" s="221"/>
      <c r="P6" s="221"/>
      <c r="Q6" s="221"/>
    </row>
    <row r="7" spans="9:17" ht="18" customHeight="1" x14ac:dyDescent="0.4">
      <c r="I7" s="50"/>
      <c r="J7" s="231" t="s">
        <v>285</v>
      </c>
      <c r="K7" s="232"/>
      <c r="L7" s="50"/>
      <c r="M7" s="221" t="s">
        <v>182</v>
      </c>
      <c r="N7" s="221"/>
      <c r="O7" s="221"/>
      <c r="P7" s="221"/>
      <c r="Q7" s="221"/>
    </row>
    <row r="8" spans="9:17" ht="18" customHeight="1" x14ac:dyDescent="0.4">
      <c r="I8" s="50"/>
      <c r="J8" s="221" t="s">
        <v>40</v>
      </c>
      <c r="K8" s="221"/>
      <c r="L8" s="50"/>
      <c r="M8" s="221" t="s">
        <v>183</v>
      </c>
      <c r="N8" s="221"/>
      <c r="O8" s="221"/>
      <c r="P8" s="221"/>
      <c r="Q8" s="221"/>
    </row>
    <row r="9" spans="9:17" ht="18" customHeight="1" x14ac:dyDescent="0.4">
      <c r="I9" s="50"/>
      <c r="J9" s="221" t="s">
        <v>334</v>
      </c>
      <c r="K9" s="221"/>
      <c r="L9" s="50"/>
      <c r="M9" s="221" t="s">
        <v>336</v>
      </c>
      <c r="N9" s="221"/>
      <c r="O9" s="221"/>
      <c r="P9" s="221"/>
      <c r="Q9" s="221"/>
    </row>
    <row r="10" spans="9:17" ht="18" customHeight="1" x14ac:dyDescent="0.4">
      <c r="I10" s="50"/>
      <c r="J10" s="221" t="s">
        <v>335</v>
      </c>
      <c r="K10" s="221"/>
      <c r="L10" s="50"/>
      <c r="M10" s="221" t="s">
        <v>337</v>
      </c>
      <c r="N10" s="221"/>
      <c r="O10" s="221"/>
      <c r="P10" s="221"/>
      <c r="Q10" s="221"/>
    </row>
    <row r="11" spans="9:17" ht="18" customHeight="1" x14ac:dyDescent="0.4">
      <c r="I11" s="221" t="s">
        <v>44</v>
      </c>
      <c r="J11" s="221"/>
      <c r="K11" s="221"/>
      <c r="L11" s="50"/>
      <c r="M11" s="72"/>
      <c r="N11" s="72"/>
      <c r="O11" s="72"/>
      <c r="P11" s="50"/>
      <c r="Q11" s="50"/>
    </row>
    <row r="12" spans="9:17" ht="18" customHeight="1" x14ac:dyDescent="0.4">
      <c r="I12" s="50"/>
      <c r="J12" s="221" t="s">
        <v>0</v>
      </c>
      <c r="K12" s="221"/>
      <c r="L12" s="50"/>
      <c r="M12" s="221" t="s">
        <v>47</v>
      </c>
      <c r="N12" s="221"/>
      <c r="O12" s="221"/>
      <c r="P12" s="221"/>
      <c r="Q12" s="221"/>
    </row>
    <row r="13" spans="9:17" ht="18" customHeight="1" x14ac:dyDescent="0.4">
      <c r="I13" s="50"/>
      <c r="J13" s="221" t="s">
        <v>41</v>
      </c>
      <c r="K13" s="221"/>
      <c r="L13" s="50"/>
      <c r="M13" s="221" t="s">
        <v>329</v>
      </c>
      <c r="N13" s="221"/>
      <c r="O13" s="221"/>
      <c r="P13" s="221"/>
      <c r="Q13" s="221"/>
    </row>
    <row r="14" spans="9:17" ht="18" customHeight="1" x14ac:dyDescent="0.4">
      <c r="I14" s="221" t="s">
        <v>45</v>
      </c>
      <c r="J14" s="221"/>
      <c r="K14" s="221"/>
      <c r="L14" s="50"/>
      <c r="M14" s="50"/>
      <c r="N14" s="50"/>
      <c r="O14" s="50"/>
      <c r="P14" s="50"/>
      <c r="Q14" s="50"/>
    </row>
    <row r="15" spans="9:17" ht="18" customHeight="1" x14ac:dyDescent="0.4">
      <c r="I15" s="50"/>
      <c r="J15" s="221" t="s">
        <v>42</v>
      </c>
      <c r="K15" s="221"/>
      <c r="L15" s="50"/>
      <c r="M15" s="221" t="s">
        <v>49</v>
      </c>
      <c r="N15" s="221"/>
      <c r="O15" s="221"/>
      <c r="P15" s="221"/>
      <c r="Q15" s="221"/>
    </row>
    <row r="16" spans="9:17" ht="18" customHeight="1" thickBot="1" x14ac:dyDescent="0.45">
      <c r="I16" s="52"/>
      <c r="J16" s="228" t="s">
        <v>43</v>
      </c>
      <c r="K16" s="228"/>
      <c r="L16" s="52"/>
      <c r="M16" s="228" t="s">
        <v>48</v>
      </c>
      <c r="N16" s="228"/>
      <c r="O16" s="228"/>
      <c r="P16" s="228"/>
      <c r="Q16" s="228"/>
    </row>
    <row r="17" spans="9:17" ht="18" customHeight="1" thickBot="1" x14ac:dyDescent="0.45"/>
    <row r="18" spans="9:17" ht="18" customHeight="1" x14ac:dyDescent="0.4">
      <c r="I18" s="219" t="s">
        <v>359</v>
      </c>
      <c r="J18" s="219"/>
      <c r="K18" s="219"/>
      <c r="L18" s="60"/>
      <c r="M18" s="47"/>
      <c r="N18" s="47"/>
      <c r="O18" s="47"/>
      <c r="P18" s="47"/>
      <c r="Q18" s="47"/>
    </row>
    <row r="19" spans="9:17" ht="18" customHeight="1" x14ac:dyDescent="0.4">
      <c r="I19" s="59"/>
      <c r="J19" s="59"/>
      <c r="K19" s="59"/>
      <c r="L19" s="62"/>
      <c r="M19" s="59"/>
      <c r="N19" s="59"/>
      <c r="O19" s="59"/>
      <c r="P19" s="59"/>
      <c r="Q19" s="59"/>
    </row>
    <row r="20" spans="9:17" ht="18" customHeight="1" x14ac:dyDescent="0.4">
      <c r="I20" s="221" t="s">
        <v>32</v>
      </c>
      <c r="J20" s="221"/>
      <c r="K20" s="221"/>
      <c r="L20" s="72" t="s">
        <v>50</v>
      </c>
      <c r="M20" s="221" t="s">
        <v>51</v>
      </c>
      <c r="N20" s="221"/>
      <c r="O20" s="221"/>
      <c r="P20" s="221"/>
      <c r="Q20" s="221"/>
    </row>
    <row r="21" spans="9:17" ht="17" customHeight="1" x14ac:dyDescent="0.4">
      <c r="I21" s="227" t="s">
        <v>52</v>
      </c>
      <c r="J21" s="227"/>
      <c r="K21" s="227"/>
      <c r="L21" s="73" t="s">
        <v>53</v>
      </c>
      <c r="M21" s="224" t="s">
        <v>338</v>
      </c>
      <c r="N21" s="224"/>
      <c r="O21" s="224"/>
      <c r="P21" s="224"/>
      <c r="Q21" s="224"/>
    </row>
    <row r="22" spans="9:17" ht="18" customHeight="1" x14ac:dyDescent="0.4">
      <c r="I22" s="59"/>
      <c r="J22" s="59"/>
      <c r="K22" s="59"/>
      <c r="L22" s="62"/>
      <c r="M22" s="225"/>
      <c r="N22" s="225"/>
      <c r="O22" s="225"/>
      <c r="P22" s="225"/>
      <c r="Q22" s="225"/>
    </row>
    <row r="23" spans="9:17" ht="17" x14ac:dyDescent="0.4">
      <c r="I23" s="49"/>
      <c r="J23" s="49"/>
      <c r="K23" s="49"/>
      <c r="L23" s="61"/>
      <c r="M23" s="226"/>
      <c r="N23" s="226"/>
      <c r="O23" s="226"/>
      <c r="P23" s="226"/>
      <c r="Q23" s="226"/>
    </row>
    <row r="24" spans="9:17" ht="18" customHeight="1" x14ac:dyDescent="0.4">
      <c r="I24" s="227" t="s">
        <v>35</v>
      </c>
      <c r="J24" s="227"/>
      <c r="K24" s="227"/>
      <c r="L24" s="73" t="s">
        <v>8</v>
      </c>
      <c r="M24" s="221" t="s">
        <v>331</v>
      </c>
      <c r="N24" s="221"/>
      <c r="O24" s="221"/>
      <c r="P24" s="221"/>
      <c r="Q24" s="221"/>
    </row>
    <row r="25" spans="9:17" ht="17" x14ac:dyDescent="0.4">
      <c r="I25" s="59"/>
      <c r="J25" s="59"/>
      <c r="K25" s="59"/>
      <c r="L25" s="62"/>
      <c r="M25" s="221" t="s">
        <v>332</v>
      </c>
      <c r="N25" s="221"/>
      <c r="O25" s="221"/>
      <c r="P25" s="221"/>
      <c r="Q25" s="221"/>
    </row>
    <row r="26" spans="9:17" ht="17" customHeight="1" x14ac:dyDescent="0.4">
      <c r="I26" s="59"/>
      <c r="J26" s="59"/>
      <c r="K26" s="59"/>
      <c r="L26" s="62"/>
      <c r="M26" s="233" t="s">
        <v>330</v>
      </c>
      <c r="N26" s="233"/>
      <c r="O26" s="233"/>
      <c r="P26" s="233"/>
      <c r="Q26" s="233"/>
    </row>
    <row r="27" spans="9:17" ht="17" x14ac:dyDescent="0.4">
      <c r="I27" s="59"/>
      <c r="J27" s="59"/>
      <c r="K27" s="59"/>
      <c r="L27" s="62"/>
      <c r="M27" s="233"/>
      <c r="N27" s="233"/>
      <c r="O27" s="233"/>
      <c r="P27" s="233"/>
      <c r="Q27" s="233"/>
    </row>
    <row r="28" spans="9:17" ht="17" x14ac:dyDescent="0.4">
      <c r="I28" s="59"/>
      <c r="J28" s="59"/>
      <c r="K28" s="59"/>
      <c r="L28" s="62"/>
      <c r="M28" s="233" t="s">
        <v>333</v>
      </c>
      <c r="N28" s="233"/>
      <c r="O28" s="233"/>
      <c r="P28" s="233"/>
      <c r="Q28" s="233"/>
    </row>
    <row r="29" spans="9:17" ht="18" customHeight="1" x14ac:dyDescent="0.4">
      <c r="I29" s="49"/>
      <c r="J29" s="49"/>
      <c r="K29" s="49"/>
      <c r="L29" s="61"/>
      <c r="M29" s="233"/>
      <c r="N29" s="233"/>
      <c r="O29" s="233"/>
      <c r="P29" s="233"/>
      <c r="Q29" s="233"/>
    </row>
    <row r="30" spans="9:17" ht="18" customHeight="1" x14ac:dyDescent="0.4">
      <c r="I30" s="227" t="s">
        <v>54</v>
      </c>
      <c r="J30" s="227"/>
      <c r="K30" s="227"/>
      <c r="L30" s="73" t="s">
        <v>37</v>
      </c>
      <c r="M30" s="227" t="s">
        <v>339</v>
      </c>
      <c r="N30" s="227"/>
      <c r="O30" s="227"/>
      <c r="P30" s="227"/>
      <c r="Q30" s="227"/>
    </row>
    <row r="31" spans="9:17" ht="18" customHeight="1" x14ac:dyDescent="0.4">
      <c r="I31" s="227" t="s">
        <v>55</v>
      </c>
      <c r="J31" s="227"/>
      <c r="K31" s="227"/>
      <c r="L31" s="73" t="s">
        <v>8</v>
      </c>
      <c r="M31" s="221" t="s">
        <v>340</v>
      </c>
      <c r="N31" s="221"/>
      <c r="O31" s="221"/>
      <c r="P31" s="221"/>
      <c r="Q31" s="221"/>
    </row>
    <row r="32" spans="9:17" ht="18" customHeight="1" x14ac:dyDescent="0.4">
      <c r="I32" s="59"/>
      <c r="J32" s="59"/>
      <c r="K32" s="59"/>
      <c r="L32" s="74"/>
      <c r="M32" s="221" t="s">
        <v>341</v>
      </c>
      <c r="N32" s="221"/>
      <c r="O32" s="221"/>
      <c r="P32" s="221"/>
      <c r="Q32" s="221"/>
    </row>
    <row r="33" spans="9:17" ht="18" customHeight="1" x14ac:dyDescent="0.4">
      <c r="I33" s="59"/>
      <c r="J33" s="59"/>
      <c r="K33" s="59"/>
      <c r="L33" s="59"/>
      <c r="M33" s="225" t="s">
        <v>342</v>
      </c>
      <c r="N33" s="234"/>
      <c r="O33" s="234"/>
      <c r="P33" s="234"/>
      <c r="Q33" s="234"/>
    </row>
    <row r="34" spans="9:17" ht="18" customHeight="1" x14ac:dyDescent="0.4">
      <c r="I34" s="59"/>
      <c r="J34" s="59"/>
      <c r="K34" s="59"/>
      <c r="L34" s="59"/>
      <c r="M34" s="234"/>
      <c r="N34" s="234"/>
      <c r="O34" s="234"/>
      <c r="P34" s="234"/>
      <c r="Q34" s="234"/>
    </row>
    <row r="35" spans="9:17" ht="18" customHeight="1" x14ac:dyDescent="0.4">
      <c r="I35" s="59"/>
      <c r="J35" s="59"/>
      <c r="K35" s="59"/>
      <c r="L35" s="59"/>
      <c r="M35" s="225" t="s">
        <v>358</v>
      </c>
      <c r="N35" s="225"/>
      <c r="O35" s="225"/>
      <c r="P35" s="225"/>
      <c r="Q35" s="225"/>
    </row>
    <row r="36" spans="9:17" ht="18" customHeight="1" x14ac:dyDescent="0.4">
      <c r="I36" s="59"/>
      <c r="J36" s="59"/>
      <c r="K36" s="59"/>
      <c r="L36" s="59"/>
      <c r="M36" s="225"/>
      <c r="N36" s="225"/>
      <c r="O36" s="225"/>
      <c r="P36" s="225"/>
      <c r="Q36" s="225"/>
    </row>
    <row r="37" spans="9:17" ht="18" customHeight="1" x14ac:dyDescent="0.4">
      <c r="I37" s="59"/>
      <c r="J37" s="59"/>
      <c r="K37" s="59"/>
      <c r="L37" s="59"/>
      <c r="M37" s="225"/>
      <c r="N37" s="225"/>
      <c r="O37" s="225"/>
      <c r="P37" s="225"/>
      <c r="Q37" s="225"/>
    </row>
    <row r="38" spans="9:17" ht="29" customHeight="1" x14ac:dyDescent="0.4">
      <c r="I38" s="59"/>
      <c r="J38" s="59"/>
      <c r="K38" s="59"/>
      <c r="L38" s="59"/>
      <c r="M38" s="225"/>
      <c r="N38" s="225"/>
      <c r="O38" s="225"/>
      <c r="P38" s="225"/>
      <c r="Q38" s="225"/>
    </row>
    <row r="39" spans="9:17" ht="18" customHeight="1" thickBot="1" x14ac:dyDescent="0.45">
      <c r="I39" s="63"/>
      <c r="J39" s="63"/>
      <c r="K39" s="63"/>
      <c r="L39" s="126" t="s">
        <v>56</v>
      </c>
      <c r="M39" s="228" t="s">
        <v>57</v>
      </c>
      <c r="N39" s="228"/>
      <c r="O39" s="228"/>
      <c r="P39" s="228"/>
      <c r="Q39" s="228"/>
    </row>
    <row r="40" spans="9:17" ht="18" customHeight="1" thickBot="1" x14ac:dyDescent="0.45">
      <c r="I40" s="135"/>
      <c r="J40" s="135"/>
      <c r="K40" s="135"/>
      <c r="L40" s="135"/>
      <c r="M40" s="135"/>
      <c r="N40" s="135"/>
      <c r="O40" s="135"/>
      <c r="P40" s="135"/>
      <c r="Q40" s="135"/>
    </row>
    <row r="41" spans="9:17" ht="18" customHeight="1" x14ac:dyDescent="0.4">
      <c r="I41" s="219" t="s">
        <v>343</v>
      </c>
      <c r="J41" s="220"/>
      <c r="K41" s="220"/>
      <c r="L41" s="47"/>
      <c r="M41" s="47"/>
      <c r="N41" s="47"/>
      <c r="O41" s="47"/>
      <c r="P41" s="47"/>
      <c r="Q41" s="47"/>
    </row>
    <row r="42" spans="9:17" ht="18" customHeight="1" x14ac:dyDescent="0.4">
      <c r="I42" s="59"/>
      <c r="J42" s="59"/>
      <c r="K42" s="59"/>
      <c r="L42" s="59"/>
      <c r="M42" s="59"/>
      <c r="N42" s="59"/>
      <c r="O42" s="59"/>
      <c r="P42" s="59"/>
      <c r="Q42" s="59"/>
    </row>
    <row r="43" spans="9:17" ht="18" customHeight="1" x14ac:dyDescent="0.4">
      <c r="I43" s="227" t="s">
        <v>36</v>
      </c>
      <c r="J43" s="227"/>
      <c r="K43" s="227"/>
      <c r="L43" s="125" t="s">
        <v>58</v>
      </c>
      <c r="M43" s="224" t="s">
        <v>60</v>
      </c>
      <c r="N43" s="224"/>
      <c r="O43" s="224"/>
      <c r="P43" s="224"/>
      <c r="Q43" s="224"/>
    </row>
    <row r="44" spans="9:17" ht="18" customHeight="1" x14ac:dyDescent="0.4">
      <c r="I44" s="59"/>
      <c r="J44" s="59"/>
      <c r="K44" s="59"/>
      <c r="L44" s="59"/>
      <c r="M44" s="225"/>
      <c r="N44" s="225"/>
      <c r="O44" s="225"/>
      <c r="P44" s="225"/>
      <c r="Q44" s="225"/>
    </row>
    <row r="45" spans="9:17" ht="18" customHeight="1" x14ac:dyDescent="0.4">
      <c r="I45" s="59"/>
      <c r="J45" s="59"/>
      <c r="K45" s="59"/>
      <c r="L45" s="59"/>
      <c r="M45" s="225"/>
      <c r="N45" s="225"/>
      <c r="O45" s="225"/>
      <c r="P45" s="225"/>
      <c r="Q45" s="225"/>
    </row>
    <row r="46" spans="9:17" ht="18" customHeight="1" x14ac:dyDescent="0.4">
      <c r="I46" s="59"/>
      <c r="J46" s="59"/>
      <c r="K46" s="59"/>
      <c r="L46" s="59"/>
      <c r="M46" s="225"/>
      <c r="N46" s="225"/>
      <c r="O46" s="225"/>
      <c r="P46" s="225"/>
      <c r="Q46" s="225"/>
    </row>
    <row r="47" spans="9:17" ht="9.5" customHeight="1" x14ac:dyDescent="0.4">
      <c r="I47" s="59"/>
      <c r="J47" s="59"/>
      <c r="K47" s="59"/>
      <c r="L47" s="49"/>
      <c r="M47" s="226"/>
      <c r="N47" s="226"/>
      <c r="O47" s="226"/>
      <c r="P47" s="226"/>
      <c r="Q47" s="226"/>
    </row>
    <row r="48" spans="9:17" ht="18" customHeight="1" x14ac:dyDescent="0.4">
      <c r="I48" s="49"/>
      <c r="J48" s="49"/>
      <c r="K48" s="49"/>
      <c r="L48" s="72" t="s">
        <v>56</v>
      </c>
      <c r="M48" s="221" t="s">
        <v>59</v>
      </c>
      <c r="N48" s="221"/>
      <c r="O48" s="221"/>
      <c r="P48" s="221"/>
      <c r="Q48" s="221"/>
    </row>
    <row r="49" spans="9:17" ht="18" customHeight="1" x14ac:dyDescent="0.4">
      <c r="I49" s="227" t="s">
        <v>344</v>
      </c>
      <c r="J49" s="227"/>
      <c r="K49" s="227"/>
      <c r="L49" s="125" t="s">
        <v>345</v>
      </c>
      <c r="M49" s="221" t="s">
        <v>348</v>
      </c>
      <c r="N49" s="221"/>
      <c r="O49" s="221"/>
      <c r="P49" s="221"/>
      <c r="Q49" s="221"/>
    </row>
    <row r="50" spans="9:17" ht="18" customHeight="1" thickBot="1" x14ac:dyDescent="0.45">
      <c r="I50" s="228" t="s">
        <v>347</v>
      </c>
      <c r="J50" s="228"/>
      <c r="K50" s="228"/>
      <c r="L50" s="126" t="s">
        <v>345</v>
      </c>
      <c r="M50" s="228" t="s">
        <v>346</v>
      </c>
      <c r="N50" s="228"/>
      <c r="O50" s="228"/>
      <c r="P50" s="228"/>
      <c r="Q50" s="228"/>
    </row>
    <row r="51" spans="9:17" ht="18" customHeight="1" thickBot="1" x14ac:dyDescent="0.45"/>
    <row r="52" spans="9:17" ht="18" customHeight="1" x14ac:dyDescent="0.4">
      <c r="I52" s="219" t="s">
        <v>35</v>
      </c>
      <c r="J52" s="220"/>
      <c r="K52" s="220"/>
      <c r="L52" s="47"/>
      <c r="M52" s="47"/>
      <c r="N52" s="47"/>
      <c r="O52" s="47"/>
      <c r="P52" s="47"/>
      <c r="Q52" s="47"/>
    </row>
    <row r="53" spans="9:17" ht="18" customHeight="1" x14ac:dyDescent="0.4">
      <c r="I53" s="124"/>
      <c r="J53" s="124"/>
      <c r="K53" s="124"/>
      <c r="L53" s="124"/>
      <c r="M53" s="123"/>
      <c r="N53" s="123"/>
      <c r="O53" s="123"/>
      <c r="P53" s="123"/>
      <c r="Q53" s="123"/>
    </row>
    <row r="54" spans="9:17" ht="18" customHeight="1" x14ac:dyDescent="0.4">
      <c r="I54" s="227" t="s">
        <v>350</v>
      </c>
      <c r="J54" s="227"/>
      <c r="K54" s="227"/>
      <c r="L54" s="75" t="s">
        <v>355</v>
      </c>
      <c r="M54" s="221" t="s">
        <v>351</v>
      </c>
      <c r="N54" s="221"/>
      <c r="O54" s="221"/>
      <c r="P54" s="221"/>
      <c r="Q54" s="221"/>
    </row>
    <row r="55" spans="9:17" ht="18" customHeight="1" x14ac:dyDescent="0.4">
      <c r="I55" s="227" t="s">
        <v>353</v>
      </c>
      <c r="J55" s="227"/>
      <c r="K55" s="227"/>
      <c r="L55" s="75" t="s">
        <v>355</v>
      </c>
      <c r="M55" s="221" t="s">
        <v>354</v>
      </c>
      <c r="N55" s="221"/>
      <c r="O55" s="221"/>
      <c r="P55" s="221"/>
      <c r="Q55" s="221"/>
    </row>
    <row r="56" spans="9:17" ht="18" customHeight="1" x14ac:dyDescent="0.4">
      <c r="I56" s="227" t="s">
        <v>349</v>
      </c>
      <c r="J56" s="227"/>
      <c r="K56" s="227"/>
      <c r="L56" s="75" t="s">
        <v>177</v>
      </c>
      <c r="M56" s="221" t="s">
        <v>180</v>
      </c>
      <c r="N56" s="221"/>
      <c r="O56" s="221"/>
      <c r="P56" s="221"/>
      <c r="Q56" s="221"/>
    </row>
    <row r="57" spans="9:17" ht="18" customHeight="1" thickBot="1" x14ac:dyDescent="0.45">
      <c r="I57" s="63"/>
      <c r="J57" s="63"/>
      <c r="K57" s="63"/>
      <c r="L57" s="71" t="s">
        <v>30</v>
      </c>
      <c r="M57" s="221" t="s">
        <v>352</v>
      </c>
      <c r="N57" s="221"/>
      <c r="O57" s="221"/>
      <c r="P57" s="221"/>
      <c r="Q57" s="221"/>
    </row>
    <row r="58" spans="9:17" ht="18" customHeight="1" thickBot="1" x14ac:dyDescent="0.45">
      <c r="I58" s="77"/>
      <c r="J58" s="77"/>
      <c r="K58" s="77"/>
      <c r="L58" s="77"/>
      <c r="M58" s="77"/>
      <c r="N58" s="77"/>
      <c r="O58" s="77"/>
      <c r="P58" s="77"/>
      <c r="Q58" s="77"/>
    </row>
    <row r="59" spans="9:17" ht="18" customHeight="1" x14ac:dyDescent="0.4">
      <c r="I59" s="219" t="s">
        <v>360</v>
      </c>
      <c r="J59" s="220"/>
      <c r="K59" s="220"/>
      <c r="L59" s="47"/>
      <c r="M59" s="47"/>
      <c r="N59" s="47"/>
      <c r="O59" s="47"/>
      <c r="P59" s="47"/>
      <c r="Q59" s="47"/>
    </row>
    <row r="60" spans="9:17" ht="18" customHeight="1" x14ac:dyDescent="0.4">
      <c r="I60" s="59"/>
      <c r="J60" s="59"/>
      <c r="K60" s="59"/>
      <c r="L60" s="59"/>
      <c r="M60" s="59"/>
      <c r="N60" s="59"/>
      <c r="O60" s="59"/>
      <c r="P60" s="59"/>
      <c r="Q60" s="59"/>
    </row>
    <row r="61" spans="9:17" ht="18" customHeight="1" x14ac:dyDescent="0.4">
      <c r="I61" s="221" t="s">
        <v>286</v>
      </c>
      <c r="J61" s="222"/>
      <c r="K61" s="222"/>
      <c r="L61" s="50"/>
      <c r="M61" s="221" t="s">
        <v>356</v>
      </c>
      <c r="N61" s="221"/>
      <c r="O61" s="221"/>
      <c r="P61" s="221"/>
      <c r="Q61" s="221"/>
    </row>
    <row r="62" spans="9:17" ht="18" customHeight="1" thickBot="1" x14ac:dyDescent="0.45">
      <c r="I62" s="223" t="s">
        <v>357</v>
      </c>
      <c r="J62" s="223"/>
      <c r="K62" s="223"/>
      <c r="L62" s="223"/>
      <c r="M62" s="223"/>
      <c r="N62" s="223"/>
      <c r="O62" s="223"/>
      <c r="P62" s="223"/>
      <c r="Q62" s="223"/>
    </row>
  </sheetData>
  <mergeCells count="62">
    <mergeCell ref="M20:Q20"/>
    <mergeCell ref="J13:K13"/>
    <mergeCell ref="J15:K15"/>
    <mergeCell ref="J16:K16"/>
    <mergeCell ref="I55:K55"/>
    <mergeCell ref="M55:Q55"/>
    <mergeCell ref="M31:Q31"/>
    <mergeCell ref="M26:Q27"/>
    <mergeCell ref="M28:Q29"/>
    <mergeCell ref="M35:Q38"/>
    <mergeCell ref="I41:K41"/>
    <mergeCell ref="M33:Q34"/>
    <mergeCell ref="I31:K31"/>
    <mergeCell ref="M32:Q32"/>
    <mergeCell ref="I2:K2"/>
    <mergeCell ref="I18:K18"/>
    <mergeCell ref="I4:K4"/>
    <mergeCell ref="M6:Q6"/>
    <mergeCell ref="M7:Q7"/>
    <mergeCell ref="M8:Q8"/>
    <mergeCell ref="M12:Q12"/>
    <mergeCell ref="I5:K5"/>
    <mergeCell ref="I11:K11"/>
    <mergeCell ref="J12:K12"/>
    <mergeCell ref="J6:K6"/>
    <mergeCell ref="J7:K7"/>
    <mergeCell ref="J8:K8"/>
    <mergeCell ref="M13:Q13"/>
    <mergeCell ref="M15:Q15"/>
    <mergeCell ref="M16:Q16"/>
    <mergeCell ref="M4:Q4"/>
    <mergeCell ref="I43:K43"/>
    <mergeCell ref="M39:Q39"/>
    <mergeCell ref="I21:K21"/>
    <mergeCell ref="M21:Q23"/>
    <mergeCell ref="J9:K9"/>
    <mergeCell ref="J10:K10"/>
    <mergeCell ref="M9:Q9"/>
    <mergeCell ref="M10:Q10"/>
    <mergeCell ref="I24:K24"/>
    <mergeCell ref="M24:Q24"/>
    <mergeCell ref="I14:K14"/>
    <mergeCell ref="I20:K20"/>
    <mergeCell ref="M25:Q25"/>
    <mergeCell ref="I30:K30"/>
    <mergeCell ref="M30:Q30"/>
    <mergeCell ref="I59:K59"/>
    <mergeCell ref="I61:K61"/>
    <mergeCell ref="M61:Q61"/>
    <mergeCell ref="I62:Q62"/>
    <mergeCell ref="M43:Q47"/>
    <mergeCell ref="I56:K56"/>
    <mergeCell ref="M56:Q56"/>
    <mergeCell ref="M57:Q57"/>
    <mergeCell ref="I54:K54"/>
    <mergeCell ref="M54:Q54"/>
    <mergeCell ref="M48:Q48"/>
    <mergeCell ref="I49:K49"/>
    <mergeCell ref="I50:K50"/>
    <mergeCell ref="M49:Q49"/>
    <mergeCell ref="M50:Q50"/>
    <mergeCell ref="I52:K52"/>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0" tint="-0.34998626667073579"/>
  </sheetPr>
  <dimension ref="D9"/>
  <sheetViews>
    <sheetView zoomScale="55" zoomScaleNormal="55" workbookViewId="0">
      <selection activeCell="K9" sqref="K9"/>
    </sheetView>
  </sheetViews>
  <sheetFormatPr defaultColWidth="8.7265625" defaultRowHeight="17" x14ac:dyDescent="0.4"/>
  <cols>
    <col min="1" max="5" width="8.7265625" style="76"/>
    <col min="6" max="6" width="11.453125" style="76" customWidth="1"/>
    <col min="7" max="16384" width="8.7265625" style="76"/>
  </cols>
  <sheetData>
    <row r="9" spans="4:4" x14ac:dyDescent="0.4">
      <c r="D9" s="76" t="s">
        <v>178</v>
      </c>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3">
    <tabColor rgb="FFFF0000"/>
    <pageSetUpPr autoPageBreaks="0"/>
  </sheetPr>
  <dimension ref="A1:X63"/>
  <sheetViews>
    <sheetView tabSelected="1" zoomScale="55" zoomScaleNormal="55" zoomScaleSheetLayoutView="70" zoomScalePageLayoutView="40" workbookViewId="0">
      <selection activeCell="E26" sqref="E26"/>
    </sheetView>
  </sheetViews>
  <sheetFormatPr defaultColWidth="8.7265625" defaultRowHeight="18" customHeight="1" x14ac:dyDescent="0.4"/>
  <cols>
    <col min="1" max="2" width="1.6328125" style="1" customWidth="1"/>
    <col min="3" max="5" width="10.6328125" style="1" customWidth="1"/>
    <col min="6" max="7" width="10.6328125" style="15" customWidth="1"/>
    <col min="8" max="8" width="3.6328125" style="1" customWidth="1"/>
    <col min="9" max="9" width="10.6328125" style="1" customWidth="1"/>
    <col min="10" max="10" width="5.08984375" style="1" customWidth="1"/>
    <col min="11" max="11" width="10.90625" style="1" bestFit="1" customWidth="1"/>
    <col min="12" max="12" width="3.6328125" style="1" customWidth="1"/>
    <col min="13" max="13" width="10.6328125" style="1" customWidth="1"/>
    <col min="14" max="14" width="6.453125" style="1" bestFit="1" customWidth="1"/>
    <col min="15" max="15" width="10.6328125" style="1" customWidth="1"/>
    <col min="16" max="16" width="3.6328125" style="1" customWidth="1"/>
    <col min="17" max="17" width="11.81640625" style="1" bestFit="1" customWidth="1"/>
    <col min="18" max="18" width="6.1796875" style="1" bestFit="1" customWidth="1"/>
    <col min="19" max="21" width="10.08984375" style="1" customWidth="1"/>
    <col min="22" max="22" width="10.6328125" style="1" customWidth="1"/>
    <col min="23" max="23" width="5.453125" style="1" bestFit="1" customWidth="1"/>
    <col min="24" max="24" width="14.26953125" style="1" bestFit="1" customWidth="1"/>
    <col min="25" max="27" width="8.7265625" style="1"/>
    <col min="28" max="28" width="10.26953125" style="1" customWidth="1"/>
    <col min="29" max="16384" width="8.7265625" style="1"/>
  </cols>
  <sheetData>
    <row r="1" spans="1:24" ht="18" customHeight="1" thickBot="1" x14ac:dyDescent="0.45">
      <c r="K1" s="142">
        <v>11</v>
      </c>
      <c r="S1" s="142">
        <v>19</v>
      </c>
      <c r="X1" s="142">
        <v>24</v>
      </c>
    </row>
    <row r="2" spans="1:24" ht="18" customHeight="1" x14ac:dyDescent="0.4">
      <c r="C2" s="213" t="s">
        <v>6</v>
      </c>
      <c r="D2" s="18">
        <f ca="1">TODAY()</f>
        <v>42977</v>
      </c>
      <c r="E2" s="20">
        <f ca="1">NOW()</f>
        <v>42977.681774537035</v>
      </c>
      <c r="F2" s="46">
        <f ca="1">WEEKDAY(TODAY())</f>
        <v>4</v>
      </c>
      <c r="G2" s="16"/>
      <c r="H2" s="4"/>
      <c r="I2" s="191" t="s">
        <v>55</v>
      </c>
      <c r="J2" s="3"/>
      <c r="K2" s="3"/>
      <c r="L2" s="13"/>
      <c r="M2" s="13"/>
      <c r="Q2" s="192" t="s">
        <v>35</v>
      </c>
      <c r="R2" s="3"/>
      <c r="S2" s="3"/>
      <c r="V2" s="191" t="s">
        <v>537</v>
      </c>
      <c r="W2" s="83"/>
      <c r="X2" s="83"/>
    </row>
    <row r="3" spans="1:24" ht="18" customHeight="1" x14ac:dyDescent="0.4">
      <c r="C3" s="214"/>
      <c r="D3" s="53"/>
      <c r="E3" s="54"/>
      <c r="F3" s="55"/>
      <c r="G3" s="17"/>
      <c r="H3" s="4"/>
      <c r="I3" s="5"/>
      <c r="J3" s="5"/>
      <c r="K3" s="13"/>
      <c r="L3" s="13"/>
      <c r="M3" s="13"/>
      <c r="Q3" s="5"/>
      <c r="R3" s="5"/>
      <c r="S3" s="13"/>
      <c r="V3" s="7"/>
      <c r="W3" s="7"/>
      <c r="X3" s="7"/>
    </row>
    <row r="4" spans="1:24" ht="18" customHeight="1" x14ac:dyDescent="0.4">
      <c r="C4" s="216" t="s">
        <v>46</v>
      </c>
      <c r="D4" s="235" t="s">
        <v>538</v>
      </c>
      <c r="E4" s="235"/>
      <c r="F4" s="236" t="s">
        <v>45</v>
      </c>
      <c r="G4" s="236"/>
      <c r="H4" s="4"/>
      <c r="I4" s="210" t="s">
        <v>31</v>
      </c>
      <c r="J4" s="6"/>
      <c r="K4" s="129" t="s">
        <v>299</v>
      </c>
      <c r="L4" s="33"/>
      <c r="M4" s="13"/>
      <c r="Q4" s="210" t="s">
        <v>7</v>
      </c>
      <c r="R4" s="6"/>
      <c r="S4" s="147" t="s">
        <v>372</v>
      </c>
      <c r="V4" s="215" t="s">
        <v>370</v>
      </c>
      <c r="W4" s="24" t="s">
        <v>379</v>
      </c>
      <c r="X4" s="143" t="s">
        <v>535</v>
      </c>
    </row>
    <row r="5" spans="1:24" ht="18" customHeight="1" x14ac:dyDescent="0.4">
      <c r="C5" s="123" t="s">
        <v>7</v>
      </c>
      <c r="D5" s="14" t="s">
        <v>0</v>
      </c>
      <c r="E5" s="14" t="s">
        <v>1</v>
      </c>
      <c r="F5" s="31" t="s">
        <v>23</v>
      </c>
      <c r="G5" s="31" t="s">
        <v>29</v>
      </c>
      <c r="H5" s="4"/>
      <c r="I5" s="210" t="s">
        <v>7</v>
      </c>
      <c r="J5" s="210"/>
      <c r="K5" s="130" t="s">
        <v>296</v>
      </c>
      <c r="L5" s="33"/>
      <c r="M5" s="32"/>
      <c r="Q5" s="210" t="s">
        <v>32</v>
      </c>
      <c r="R5" s="210" t="s">
        <v>50</v>
      </c>
      <c r="S5" s="131">
        <v>1</v>
      </c>
      <c r="V5" s="210"/>
      <c r="W5" s="24" t="s">
        <v>378</v>
      </c>
      <c r="X5" s="144">
        <v>10000000</v>
      </c>
    </row>
    <row r="6" spans="1:24" ht="18" customHeight="1" x14ac:dyDescent="0.4">
      <c r="C6" s="8" t="s">
        <v>26</v>
      </c>
      <c r="D6" s="44" t="e">
        <v>#REF!</v>
      </c>
      <c r="E6" s="44" t="e">
        <v>#REF!</v>
      </c>
      <c r="F6" s="21">
        <v>2.25</v>
      </c>
      <c r="G6" s="21">
        <v>-9.6</v>
      </c>
      <c r="H6" s="4"/>
      <c r="I6" s="210" t="s">
        <v>539</v>
      </c>
      <c r="J6" s="215" t="s">
        <v>37</v>
      </c>
      <c r="K6" s="127">
        <f>IF(K4="賣價",VLOOKUP(K5,C6:E27,2,0),IF(K4="買價",VLOOKUP(K5,C6:E27,3,0),0))</f>
        <v>1.62869</v>
      </c>
      <c r="L6" s="35"/>
      <c r="M6" s="33"/>
      <c r="N6" s="2"/>
      <c r="O6" s="2"/>
      <c r="P6" s="2"/>
      <c r="Q6" s="78" t="s">
        <v>33</v>
      </c>
      <c r="R6" s="78" t="s">
        <v>34</v>
      </c>
      <c r="S6" s="130">
        <v>40</v>
      </c>
      <c r="V6" s="215" t="s">
        <v>334</v>
      </c>
      <c r="W6" s="141"/>
      <c r="X6" s="146" t="s">
        <v>288</v>
      </c>
    </row>
    <row r="7" spans="1:24" ht="18" customHeight="1" x14ac:dyDescent="0.4">
      <c r="C7" s="8" t="s">
        <v>2</v>
      </c>
      <c r="D7" s="19" t="e">
        <v>#REF!</v>
      </c>
      <c r="E7" s="44" t="e">
        <v>#REF!</v>
      </c>
      <c r="F7" s="21">
        <v>-2.9499999999999997</v>
      </c>
      <c r="G7" s="21">
        <v>0.35000000000000003</v>
      </c>
      <c r="H7" s="4"/>
      <c r="I7" s="210" t="s">
        <v>32</v>
      </c>
      <c r="J7" s="210" t="s">
        <v>50</v>
      </c>
      <c r="K7" s="131">
        <v>1</v>
      </c>
      <c r="L7" s="36"/>
      <c r="M7" s="34"/>
      <c r="N7" s="2"/>
      <c r="O7" s="2"/>
      <c r="P7" s="2"/>
      <c r="Q7" s="193" t="s">
        <v>554</v>
      </c>
      <c r="R7" s="210" t="s">
        <v>8</v>
      </c>
      <c r="S7" s="185">
        <v>2906.35</v>
      </c>
      <c r="V7" s="78" t="s">
        <v>33</v>
      </c>
      <c r="W7" s="78" t="s">
        <v>34</v>
      </c>
      <c r="X7" s="145">
        <v>40</v>
      </c>
    </row>
    <row r="8" spans="1:24" ht="18" customHeight="1" thickBot="1" x14ac:dyDescent="0.45">
      <c r="C8" s="8" t="s">
        <v>3</v>
      </c>
      <c r="D8" s="44" t="e">
        <v>#REF!</v>
      </c>
      <c r="E8" s="44" t="e">
        <v>#REF!</v>
      </c>
      <c r="F8" s="21">
        <v>1.55</v>
      </c>
      <c r="G8" s="21">
        <v>-7.35</v>
      </c>
      <c r="H8" s="4"/>
      <c r="I8" s="136" t="s">
        <v>33</v>
      </c>
      <c r="J8" s="136" t="s">
        <v>34</v>
      </c>
      <c r="K8" s="140">
        <v>40</v>
      </c>
      <c r="L8" s="37"/>
      <c r="M8" s="33"/>
      <c r="N8" s="2"/>
      <c r="O8" s="2"/>
      <c r="P8" s="2"/>
      <c r="Q8" s="81"/>
      <c r="R8" s="211" t="s">
        <v>30</v>
      </c>
      <c r="S8" s="82">
        <v>88294.913</v>
      </c>
      <c r="V8" s="211" t="s">
        <v>362</v>
      </c>
      <c r="W8" s="211" t="s">
        <v>540</v>
      </c>
      <c r="X8" s="180">
        <f>ROUNDDOWN(X9,2)</f>
        <v>5072.2700000000004</v>
      </c>
    </row>
    <row r="9" spans="1:24" ht="18" customHeight="1" thickTop="1" thickBot="1" x14ac:dyDescent="0.45">
      <c r="C9" s="8" t="s">
        <v>541</v>
      </c>
      <c r="D9" s="44" t="e">
        <v>#REF!</v>
      </c>
      <c r="E9" s="44" t="e">
        <v>#REF!</v>
      </c>
      <c r="F9" s="21">
        <v>0.25</v>
      </c>
      <c r="G9" s="21">
        <v>0.255</v>
      </c>
      <c r="H9" s="4"/>
      <c r="I9" s="148" t="s">
        <v>542</v>
      </c>
      <c r="J9" s="148" t="s">
        <v>37</v>
      </c>
      <c r="K9" s="149">
        <v>1.62869</v>
      </c>
      <c r="L9" s="38"/>
      <c r="P9" s="2"/>
      <c r="Q9" s="214"/>
      <c r="R9" s="214"/>
      <c r="S9" s="35"/>
      <c r="V9" s="213"/>
      <c r="W9" s="83"/>
      <c r="X9" s="195">
        <v>5072.2799898554404</v>
      </c>
    </row>
    <row r="10" spans="1:24" ht="18" customHeight="1" thickTop="1" thickBot="1" x14ac:dyDescent="0.45">
      <c r="C10" s="9" t="s">
        <v>161</v>
      </c>
      <c r="D10" s="44" t="e">
        <v>#REF!</v>
      </c>
      <c r="E10" s="44" t="e">
        <v>#REF!</v>
      </c>
      <c r="F10" s="21">
        <v>-8.1</v>
      </c>
      <c r="G10" s="21">
        <v>1.7999999999999998</v>
      </c>
      <c r="H10" s="4"/>
      <c r="I10" s="214" t="s">
        <v>543</v>
      </c>
      <c r="J10" s="214" t="s">
        <v>8</v>
      </c>
      <c r="K10" s="64" t="e">
        <f>IF(AND(K4="賣價",K5="EURUSD"),(E6-K9)*K7*100000,IF(AND(K4="買價",K5="EURUSD"),(D6-K9)*K7*100000,IF(AND(K4="賣價",K5="AUDUSD"),(E7-K9)*K7*100000,IF(AND(K4="買價",K5="AUDUSD"),(D7-K9)*K7*100000,IF(AND(K4="賣價",K5="GBPUSD"),(E8-K9)*K7*100000,IF(AND(K4="買價",K5="GBPUSD"),(D8-K9)*K7*100000,IF(AND(K4="賣價",K5="NZDUSD"),(E9-K9)*K7*100000,IF(AND(K4="買價",K5="NZDUSD"),(D9-K9)*K7*100000,IF(AND(K4="賣價",K5="USDJPY"),(E10-K9)*K7*100000/E10,IF(AND(K4="買價",K5="USDJPY"),(D10-K9)*K7*100000/E10,IF(AND(K4="賣價",K5="USDCNH"),(E11-K9)*K7*100000/E11,IF(AND(K4="買價",K5="USDCNH"),(D11-K9)*K7*100000/E11,IF(AND(K4="賣價",K5="USDCAD"),(E12-K9)*K7*100000/E12,IF(AND(K4="買價",K5="USDCAD"),(D12-K9)*K7*100000/E12,IF(AND(K4="賣價",K5="EURJPY"),(E13-K9)*K7*100000/E10,IF(AND(K4="買價",K5="EURJPY"),(D13-K9)*K7*100000/E10,IF(AND(K4="賣價",K5="EURAUD"),(E14-K9)*K7*100000*D7,IF(AND(K4="買價",K5="EURAUD"),(D14-K9)*K7*100000*D7,IF(AND(K4="賣價",K5="EURCAD"),(E15-K9)*K7*100000/E12,IF(AND(K4="買價",K5="EURCAD"),(D15-K9)*K7*100000/E12,IF(AND(K4="賣價",K5="EURGBP"),(E16-K9)*K7*100000*D8,IF(AND(K4="買價",K5="EURGBP"),(D16-K9)*K7*100000*D8,IF(AND(K4="賣價",K5="EURNZD"),(E17-K9)*K7*100000*D9,IF(AND(K4="買價",K5="EURNZD"),(D17-K9)*K7*100000*D9,IF(AND(K4="賣價",K5="AUDNZD"),(E18-K9)*K7*100000*D9,IF(AND(K4="買價",K5="AUDNZD"),(D18-K9)*K7*100000*D9,IF(AND(K4="賣價",K5="AUDJPY"),(E19-K9)*K7*100000/E10,IF(AND(K4="買價",K5="AUDJPY"),(D19-K9)*K7*100000/E10,IF(AND(K4="賣價",K5="AUDCAD"),(E20-K9)*K7*100000/E12,IF(AND(K4="買價",K5="AUDCAD"),(D20-K9)*K7*100000/E12,IF(AND(K4="賣價",K5="GBPAUD"),(E21-K9)*K7*100000*D7,IF(AND(K4="買價",K5="GBPAUD"),(D21-K9)*K7*100000*D7,IF(AND(K4="賣價",K5="GBPCAD"),(E22-K9)*K7*100000/E12,IF(AND(K4="買價",K5="GBPCAD"),(D22-K9)*K7*100000/E12,IF(AND(K4="賣價",K5="GBPJPY"),(E23-K9)*K7*100000/E10,IF(AND(K4="買價",K5="GBPJPY"),(D23-K9)*K7*100000/E10,IF(AND(K4="賣價",K5="GBPNZD"),(E24-K9)*K7*100000*D9,IF(AND(K4="買價",K5="GBPNZD"),(D24-K9)*K7*100000*D9,IF(AND(K4="賣價",K5="NZDCAD"),(E25-K9)*K7*100000/E12,IF(AND(K4="買價",K5="NZDCAD"),(D25-K9)*K7*100000/D12,IF(AND(K4="賣價",K5="NZDJPY"),(E26-K9)*K7*100000/E10,IF(AND(K4="買價",K5="NZDJPY"),(D26-K9)*K7*100000/E10,IF(AND(K4="賣價",K5="CADJPY"),(E27-K9)*K7*100000/E10,IF(AND(K4="買價",K5="CADJPY"),(D27-K9)*K7*100000/E10,0))))))))))))))))))))))))))))))))))))))))))))</f>
        <v>#REF!</v>
      </c>
      <c r="L10" s="39"/>
      <c r="M10" s="2"/>
      <c r="N10" s="2"/>
      <c r="O10" s="2"/>
      <c r="P10" s="7"/>
      <c r="V10" s="214"/>
      <c r="W10" s="7"/>
      <c r="X10" s="7"/>
    </row>
    <row r="11" spans="1:24" ht="18" customHeight="1" thickBot="1" x14ac:dyDescent="0.45">
      <c r="A11" s="1">
        <v>235.87512000000382</v>
      </c>
      <c r="C11" s="9" t="s">
        <v>9</v>
      </c>
      <c r="D11" s="44" t="e">
        <v>#REF!</v>
      </c>
      <c r="E11" s="44" t="e">
        <v>#REF!</v>
      </c>
      <c r="F11" s="21">
        <v>-1.7000000000000002</v>
      </c>
      <c r="G11" s="21">
        <v>-58.8</v>
      </c>
      <c r="H11" s="4"/>
      <c r="I11" s="81"/>
      <c r="J11" s="211" t="s">
        <v>56</v>
      </c>
      <c r="K11" s="40" t="e">
        <f>K10*E31</f>
        <v>#REF!</v>
      </c>
      <c r="L11" s="38"/>
      <c r="P11" s="7"/>
      <c r="Q11" s="191" t="s">
        <v>286</v>
      </c>
      <c r="R11" s="83"/>
      <c r="S11" s="217" t="s">
        <v>299</v>
      </c>
    </row>
    <row r="12" spans="1:24" ht="18" customHeight="1" thickBot="1" x14ac:dyDescent="0.45">
      <c r="C12" s="9" t="s">
        <v>18</v>
      </c>
      <c r="D12" s="44" t="e">
        <v>#REF!</v>
      </c>
      <c r="E12" s="44" t="e">
        <v>#REF!</v>
      </c>
      <c r="F12" s="21">
        <v>-5.25</v>
      </c>
      <c r="G12" s="21">
        <v>0.65</v>
      </c>
      <c r="H12" s="4"/>
      <c r="I12" s="214"/>
      <c r="J12" s="214"/>
      <c r="K12" s="36"/>
      <c r="L12" s="39"/>
      <c r="M12" s="2"/>
      <c r="N12" s="2"/>
      <c r="O12" s="2"/>
      <c r="P12" s="36"/>
      <c r="Q12" s="84"/>
      <c r="R12" s="7"/>
      <c r="S12" s="7"/>
    </row>
    <row r="13" spans="1:24" ht="18" customHeight="1" x14ac:dyDescent="0.4">
      <c r="C13" s="10" t="s">
        <v>10</v>
      </c>
      <c r="D13" s="44" t="e">
        <v>#REF!</v>
      </c>
      <c r="E13" s="44" t="e">
        <v>#REF!</v>
      </c>
      <c r="F13" s="21">
        <v>0</v>
      </c>
      <c r="G13" s="21">
        <v>-2.9000000000000004</v>
      </c>
      <c r="I13" s="191" t="s">
        <v>544</v>
      </c>
      <c r="J13" s="213"/>
      <c r="K13" s="151"/>
      <c r="L13" s="37"/>
      <c r="P13" s="36"/>
      <c r="Q13" s="215" t="s">
        <v>31</v>
      </c>
      <c r="R13" s="210"/>
      <c r="S13" s="130" t="s">
        <v>377</v>
      </c>
    </row>
    <row r="14" spans="1:24" ht="18" customHeight="1" x14ac:dyDescent="0.4">
      <c r="C14" s="10" t="s">
        <v>11</v>
      </c>
      <c r="D14" s="44" t="e">
        <v>#REF!</v>
      </c>
      <c r="E14" s="19" t="e">
        <v>#REF!</v>
      </c>
      <c r="F14" s="21">
        <v>3.75</v>
      </c>
      <c r="G14" s="21">
        <v>-17.95</v>
      </c>
      <c r="L14" s="37"/>
      <c r="M14" s="2"/>
      <c r="N14" s="2"/>
      <c r="O14" s="2"/>
      <c r="P14" s="36"/>
      <c r="Q14" s="210" t="s">
        <v>545</v>
      </c>
      <c r="R14" s="210" t="s">
        <v>50</v>
      </c>
      <c r="S14" s="131">
        <v>0.01</v>
      </c>
    </row>
    <row r="15" spans="1:24" ht="18" customHeight="1" x14ac:dyDescent="0.4">
      <c r="C15" s="27" t="s">
        <v>12</v>
      </c>
      <c r="D15" s="44">
        <v>1.46183</v>
      </c>
      <c r="E15" s="44">
        <v>1.46313</v>
      </c>
      <c r="F15" s="21">
        <v>1.5</v>
      </c>
      <c r="G15" s="21">
        <v>-8.25</v>
      </c>
      <c r="I15" s="210" t="s">
        <v>31</v>
      </c>
      <c r="J15" s="6"/>
      <c r="K15" s="129" t="s">
        <v>522</v>
      </c>
      <c r="L15" s="37"/>
      <c r="Q15" s="194" t="s">
        <v>555</v>
      </c>
      <c r="R15" s="85" t="s">
        <v>37</v>
      </c>
      <c r="S15" s="134">
        <v>1.17283</v>
      </c>
      <c r="T15" s="218"/>
      <c r="U15" s="7"/>
    </row>
    <row r="16" spans="1:24" ht="18" customHeight="1" x14ac:dyDescent="0.4">
      <c r="C16" s="10" t="s">
        <v>13</v>
      </c>
      <c r="D16" s="44" t="e">
        <v>#REF!</v>
      </c>
      <c r="E16" s="44" t="e">
        <v>#REF!</v>
      </c>
      <c r="F16" s="21">
        <v>0.4</v>
      </c>
      <c r="G16" s="21">
        <v>-3.25</v>
      </c>
      <c r="I16" s="210" t="s">
        <v>7</v>
      </c>
      <c r="J16" s="210"/>
      <c r="K16" s="130" t="s">
        <v>296</v>
      </c>
      <c r="M16" s="39"/>
      <c r="Q16" s="42" t="s">
        <v>546</v>
      </c>
      <c r="R16" s="85" t="s">
        <v>37</v>
      </c>
      <c r="S16" s="134">
        <v>1.16283</v>
      </c>
      <c r="T16" s="218"/>
      <c r="U16" s="7"/>
    </row>
    <row r="17" spans="3:24" ht="18" customHeight="1" x14ac:dyDescent="0.4">
      <c r="C17" s="27" t="s">
        <v>14</v>
      </c>
      <c r="D17" s="44">
        <v>1.56291</v>
      </c>
      <c r="E17" s="44">
        <v>1.56569</v>
      </c>
      <c r="F17" s="21">
        <v>4</v>
      </c>
      <c r="G17" s="21">
        <v>-19.5</v>
      </c>
      <c r="I17" s="210" t="s">
        <v>545</v>
      </c>
      <c r="J17" s="210" t="s">
        <v>540</v>
      </c>
      <c r="K17" s="131">
        <v>1</v>
      </c>
      <c r="M17" s="37"/>
      <c r="Q17" s="196" t="s">
        <v>286</v>
      </c>
      <c r="R17" s="210" t="s">
        <v>8</v>
      </c>
      <c r="S17" s="128">
        <v>7.9403520752110222</v>
      </c>
    </row>
    <row r="18" spans="3:24" ht="18" customHeight="1" thickBot="1" x14ac:dyDescent="0.45">
      <c r="C18" s="57" t="s">
        <v>27</v>
      </c>
      <c r="D18" s="44" t="e">
        <v>#REF!</v>
      </c>
      <c r="E18" s="44" t="e">
        <v>#REF!</v>
      </c>
      <c r="F18" s="21">
        <v>-2.25</v>
      </c>
      <c r="G18" s="21">
        <v>-1.05</v>
      </c>
      <c r="I18" s="210" t="s">
        <v>547</v>
      </c>
      <c r="J18" s="210"/>
      <c r="K18" s="132">
        <v>42935</v>
      </c>
      <c r="M18" s="37"/>
      <c r="Q18" s="197"/>
      <c r="R18" s="211" t="s">
        <v>56</v>
      </c>
      <c r="S18" s="40">
        <v>241.22789604491084</v>
      </c>
    </row>
    <row r="19" spans="3:24" ht="18" customHeight="1" x14ac:dyDescent="0.4">
      <c r="C19" s="57" t="s">
        <v>28</v>
      </c>
      <c r="D19" s="44" t="e">
        <v>#REF!</v>
      </c>
      <c r="E19" s="67" t="e">
        <v>#REF!</v>
      </c>
      <c r="F19" s="21">
        <v>-10.25</v>
      </c>
      <c r="G19" s="21">
        <v>1.8499999999999999</v>
      </c>
      <c r="I19" s="210" t="s">
        <v>548</v>
      </c>
      <c r="J19" s="210" t="s">
        <v>549</v>
      </c>
      <c r="K19" s="133">
        <v>0.33333333333333331</v>
      </c>
      <c r="L19" s="26"/>
      <c r="M19" s="37"/>
    </row>
    <row r="20" spans="3:24" ht="18" customHeight="1" x14ac:dyDescent="0.4">
      <c r="C20" s="29" t="s">
        <v>19</v>
      </c>
      <c r="D20" s="44">
        <v>0.99187000000000003</v>
      </c>
      <c r="E20" s="44">
        <v>0.99333000000000005</v>
      </c>
      <c r="F20" s="21">
        <v>-7.6499999999999995</v>
      </c>
      <c r="G20" s="21">
        <v>1.2</v>
      </c>
      <c r="I20" s="210" t="s">
        <v>550</v>
      </c>
      <c r="J20" s="210"/>
      <c r="K20" s="132">
        <v>42949</v>
      </c>
      <c r="Q20" s="84"/>
    </row>
    <row r="21" spans="3:24" ht="18" customHeight="1" x14ac:dyDescent="0.4">
      <c r="C21" s="11" t="s">
        <v>15</v>
      </c>
      <c r="D21" s="44" t="e">
        <v>#REF!</v>
      </c>
      <c r="E21" s="44" t="e">
        <v>#REF!</v>
      </c>
      <c r="F21" s="21">
        <v>2.9499999999999997</v>
      </c>
      <c r="G21" s="21">
        <v>-15.85</v>
      </c>
      <c r="I21" s="212" t="s">
        <v>548</v>
      </c>
      <c r="J21" s="212" t="s">
        <v>549</v>
      </c>
      <c r="K21" s="133">
        <v>0.16666666666666666</v>
      </c>
      <c r="Q21" s="7"/>
    </row>
    <row r="22" spans="3:24" ht="18" customHeight="1" x14ac:dyDescent="0.4">
      <c r="C22" s="28" t="s">
        <v>20</v>
      </c>
      <c r="D22" s="44">
        <v>1.62869</v>
      </c>
      <c r="E22" s="44">
        <v>1.6210100000000001</v>
      </c>
      <c r="F22" s="21">
        <v>0.5</v>
      </c>
      <c r="G22" s="21">
        <v>-4.95</v>
      </c>
      <c r="I22" s="150" t="s">
        <v>45</v>
      </c>
      <c r="J22" s="210" t="s">
        <v>37</v>
      </c>
      <c r="K22" s="41">
        <v>13.2</v>
      </c>
      <c r="Q22" s="7"/>
    </row>
    <row r="23" spans="3:24" ht="18" customHeight="1" thickBot="1" x14ac:dyDescent="0.45">
      <c r="C23" s="11" t="s">
        <v>551</v>
      </c>
      <c r="D23" s="44" t="e">
        <v>#REF!</v>
      </c>
      <c r="E23" s="44" t="e">
        <v>#REF!</v>
      </c>
      <c r="F23" s="21">
        <v>-4.05</v>
      </c>
      <c r="G23" s="21">
        <v>0.25</v>
      </c>
      <c r="I23" s="211"/>
      <c r="J23" s="211" t="s">
        <v>56</v>
      </c>
      <c r="K23" s="23">
        <v>13.533333333333333</v>
      </c>
      <c r="M23" s="26"/>
      <c r="Q23" s="7"/>
      <c r="V23" s="216"/>
      <c r="W23" s="7"/>
      <c r="X23" s="216"/>
    </row>
    <row r="24" spans="3:24" ht="18" customHeight="1" x14ac:dyDescent="0.4">
      <c r="C24" s="28" t="s">
        <v>16</v>
      </c>
      <c r="D24" s="44">
        <v>1.74095</v>
      </c>
      <c r="E24" s="44">
        <v>1.74519</v>
      </c>
      <c r="F24" s="21">
        <v>3.25</v>
      </c>
      <c r="G24" s="21">
        <v>-16.5</v>
      </c>
      <c r="I24" s="123" t="s">
        <v>536</v>
      </c>
      <c r="J24" s="43" t="s">
        <v>25</v>
      </c>
      <c r="K24" s="41">
        <f t="array" aca="1" ref="K24" ca="1">SUM(IF(WEEKDAY(ROW(INDIRECT(K18&amp; ":" &amp; K20)),2)=ROW(5:5),1,0))</f>
        <v>2</v>
      </c>
      <c r="Q24" s="7"/>
      <c r="V24" s="7"/>
      <c r="W24" s="7"/>
      <c r="X24" s="7"/>
    </row>
    <row r="25" spans="3:24" ht="18" customHeight="1" x14ac:dyDescent="0.4">
      <c r="C25" s="30" t="s">
        <v>21</v>
      </c>
      <c r="D25" s="19">
        <v>0.93420000000000003</v>
      </c>
      <c r="E25" s="44">
        <v>0.93577999999999995</v>
      </c>
      <c r="F25" s="21">
        <v>-7.35</v>
      </c>
      <c r="G25" s="21">
        <v>1.05</v>
      </c>
      <c r="I25" s="210" t="s">
        <v>552</v>
      </c>
      <c r="J25" s="24" t="s">
        <v>25</v>
      </c>
      <c r="K25" s="22">
        <f>_xlfn.DAYS(K20,K18)</f>
        <v>14</v>
      </c>
      <c r="Q25" s="7"/>
      <c r="V25" s="7"/>
      <c r="W25" s="7"/>
      <c r="X25" s="7"/>
    </row>
    <row r="26" spans="3:24" ht="18" customHeight="1" thickBot="1" x14ac:dyDescent="0.45">
      <c r="C26" s="12" t="s">
        <v>171</v>
      </c>
      <c r="D26" s="44" t="e">
        <v>#REF!</v>
      </c>
      <c r="E26" s="44" t="e">
        <v>#REF!</v>
      </c>
      <c r="F26" s="21">
        <v>-8.85</v>
      </c>
      <c r="G26" s="21">
        <v>1.7500000000000002</v>
      </c>
      <c r="I26" s="211" t="s">
        <v>553</v>
      </c>
      <c r="J26" s="25" t="s">
        <v>25</v>
      </c>
      <c r="K26" s="23">
        <f ca="1">K25+K24</f>
        <v>16</v>
      </c>
      <c r="Q26" s="7"/>
      <c r="V26" s="7"/>
      <c r="W26" s="7"/>
      <c r="X26" s="7"/>
    </row>
    <row r="27" spans="3:24" ht="18" customHeight="1" thickBot="1" x14ac:dyDescent="0.45">
      <c r="C27" s="87" t="s">
        <v>24</v>
      </c>
      <c r="D27" s="88">
        <v>88.326999999999998</v>
      </c>
      <c r="E27" s="88">
        <v>88.366</v>
      </c>
      <c r="F27" s="89">
        <v>-4.1500000000000004</v>
      </c>
      <c r="G27" s="89">
        <v>0.65</v>
      </c>
      <c r="Q27" s="7"/>
      <c r="V27" s="7"/>
      <c r="W27" s="7"/>
      <c r="X27" s="7"/>
    </row>
    <row r="28" spans="3:24" ht="18" customHeight="1" x14ac:dyDescent="0.4">
      <c r="C28" s="90"/>
      <c r="D28" s="7"/>
      <c r="E28" s="7"/>
      <c r="F28" s="86"/>
      <c r="G28" s="86"/>
      <c r="Q28" s="7"/>
      <c r="V28" s="7"/>
      <c r="W28" s="7"/>
      <c r="X28" s="7"/>
    </row>
    <row r="29" spans="3:24" ht="18" customHeight="1" x14ac:dyDescent="0.4">
      <c r="C29" s="90"/>
      <c r="D29" s="7"/>
      <c r="E29" s="7"/>
      <c r="F29" s="86"/>
      <c r="G29" s="86"/>
      <c r="Q29" s="7"/>
      <c r="V29" s="7"/>
      <c r="W29" s="7"/>
      <c r="X29" s="7"/>
    </row>
    <row r="30" spans="3:24" ht="18" customHeight="1" thickBot="1" x14ac:dyDescent="0.45">
      <c r="C30" s="90"/>
      <c r="D30" s="84" t="s">
        <v>301</v>
      </c>
      <c r="E30" s="84" t="s">
        <v>300</v>
      </c>
      <c r="F30" s="86"/>
      <c r="G30" s="86"/>
      <c r="Q30" s="7"/>
      <c r="V30" s="7"/>
      <c r="W30" s="7"/>
      <c r="X30" s="7"/>
    </row>
    <row r="31" spans="3:24" ht="18" customHeight="1" thickBot="1" x14ac:dyDescent="0.45">
      <c r="C31" s="58" t="s">
        <v>287</v>
      </c>
      <c r="D31" s="56">
        <v>30.28</v>
      </c>
      <c r="E31" s="56">
        <v>30.38</v>
      </c>
      <c r="F31" s="45"/>
      <c r="G31" s="45"/>
      <c r="Q31" s="7"/>
      <c r="V31" s="7"/>
      <c r="W31" s="7"/>
      <c r="X31" s="7"/>
    </row>
    <row r="32" spans="3:24" ht="18" customHeight="1" x14ac:dyDescent="0.4">
      <c r="Q32" s="7"/>
      <c r="V32" s="7"/>
      <c r="W32" s="7"/>
      <c r="X32" s="7"/>
    </row>
    <row r="33" spans="6:22" ht="18" customHeight="1" x14ac:dyDescent="0.4">
      <c r="F33" s="1"/>
      <c r="G33" s="1"/>
      <c r="O33" s="7"/>
      <c r="T33" s="7"/>
      <c r="U33" s="7"/>
      <c r="V33" s="7"/>
    </row>
    <row r="34" spans="6:22" ht="18" customHeight="1" x14ac:dyDescent="0.4">
      <c r="F34" s="1"/>
      <c r="G34" s="1"/>
      <c r="O34" s="7"/>
      <c r="T34" s="7"/>
      <c r="U34" s="7"/>
      <c r="V34" s="7"/>
    </row>
    <row r="35" spans="6:22" ht="18" customHeight="1" x14ac:dyDescent="0.4">
      <c r="F35" s="1"/>
      <c r="G35" s="1"/>
      <c r="O35" s="7"/>
      <c r="T35" s="7"/>
      <c r="U35" s="7"/>
      <c r="V35" s="7"/>
    </row>
    <row r="36" spans="6:22" ht="18" customHeight="1" x14ac:dyDescent="0.4">
      <c r="F36" s="1"/>
      <c r="G36" s="1"/>
      <c r="O36" s="7"/>
      <c r="T36" s="7"/>
      <c r="U36" s="7"/>
      <c r="V36" s="7"/>
    </row>
    <row r="37" spans="6:22" ht="18" customHeight="1" x14ac:dyDescent="0.4">
      <c r="F37" s="1"/>
      <c r="G37" s="1"/>
      <c r="O37" s="7"/>
      <c r="T37" s="7"/>
      <c r="U37" s="7"/>
      <c r="V37" s="7"/>
    </row>
    <row r="38" spans="6:22" ht="18" customHeight="1" x14ac:dyDescent="0.4">
      <c r="F38" s="1"/>
      <c r="G38" s="1"/>
      <c r="O38" s="7"/>
      <c r="T38" s="7"/>
      <c r="U38" s="7"/>
      <c r="V38" s="7"/>
    </row>
    <row r="39" spans="6:22" ht="18" customHeight="1" x14ac:dyDescent="0.4">
      <c r="F39" s="1"/>
      <c r="G39" s="1"/>
      <c r="O39" s="7"/>
      <c r="T39" s="7"/>
      <c r="U39" s="7"/>
      <c r="V39" s="7"/>
    </row>
    <row r="40" spans="6:22" ht="18" customHeight="1" x14ac:dyDescent="0.4">
      <c r="F40" s="1"/>
      <c r="G40" s="1"/>
      <c r="O40" s="7"/>
      <c r="T40" s="7"/>
      <c r="U40" s="7"/>
      <c r="V40" s="7"/>
    </row>
    <row r="41" spans="6:22" ht="18" customHeight="1" x14ac:dyDescent="0.4">
      <c r="F41" s="1"/>
      <c r="G41" s="1"/>
      <c r="T41" s="7"/>
      <c r="U41" s="7"/>
      <c r="V41" s="7"/>
    </row>
    <row r="42" spans="6:22" ht="18" customHeight="1" x14ac:dyDescent="0.4">
      <c r="F42" s="1"/>
      <c r="G42" s="1"/>
      <c r="T42" s="7"/>
      <c r="U42" s="7"/>
      <c r="V42" s="7"/>
    </row>
    <row r="43" spans="6:22" ht="18" customHeight="1" x14ac:dyDescent="0.4">
      <c r="F43" s="1"/>
      <c r="G43" s="1"/>
      <c r="T43" s="7"/>
      <c r="U43" s="7"/>
      <c r="V43" s="7"/>
    </row>
    <row r="44" spans="6:22" ht="18" customHeight="1" x14ac:dyDescent="0.4">
      <c r="F44" s="1"/>
      <c r="G44" s="1"/>
      <c r="T44" s="7"/>
      <c r="U44" s="7"/>
      <c r="V44" s="7"/>
    </row>
    <row r="45" spans="6:22" ht="18" customHeight="1" x14ac:dyDescent="0.4">
      <c r="F45" s="1"/>
      <c r="G45" s="1"/>
      <c r="T45" s="7"/>
      <c r="U45" s="7"/>
      <c r="V45" s="7"/>
    </row>
    <row r="46" spans="6:22" ht="18" customHeight="1" x14ac:dyDescent="0.4">
      <c r="F46" s="1"/>
      <c r="G46" s="1"/>
      <c r="T46" s="7"/>
      <c r="U46" s="7"/>
      <c r="V46" s="7"/>
    </row>
    <row r="47" spans="6:22" ht="18" customHeight="1" x14ac:dyDescent="0.4">
      <c r="F47" s="1"/>
      <c r="G47" s="1"/>
      <c r="T47" s="7"/>
      <c r="U47" s="7"/>
      <c r="V47" s="7"/>
    </row>
    <row r="48" spans="6:22" ht="18" customHeight="1" x14ac:dyDescent="0.4">
      <c r="F48" s="1"/>
      <c r="G48" s="1"/>
    </row>
    <row r="49" spans="6:7" ht="18" customHeight="1" x14ac:dyDescent="0.4">
      <c r="F49" s="1"/>
      <c r="G49" s="1"/>
    </row>
    <row r="50" spans="6:7" ht="18" customHeight="1" x14ac:dyDescent="0.4">
      <c r="F50" s="1"/>
      <c r="G50" s="1"/>
    </row>
    <row r="51" spans="6:7" ht="18" customHeight="1" x14ac:dyDescent="0.4">
      <c r="F51" s="1"/>
      <c r="G51" s="1"/>
    </row>
    <row r="52" spans="6:7" ht="18" customHeight="1" x14ac:dyDescent="0.4">
      <c r="F52" s="1"/>
      <c r="G52" s="1"/>
    </row>
    <row r="53" spans="6:7" ht="18" customHeight="1" x14ac:dyDescent="0.4">
      <c r="F53" s="1"/>
      <c r="G53" s="1"/>
    </row>
    <row r="54" spans="6:7" ht="18" customHeight="1" x14ac:dyDescent="0.4">
      <c r="F54" s="1"/>
      <c r="G54" s="1"/>
    </row>
    <row r="55" spans="6:7" ht="18" customHeight="1" x14ac:dyDescent="0.4">
      <c r="F55" s="1"/>
      <c r="G55" s="1"/>
    </row>
    <row r="56" spans="6:7" ht="18" customHeight="1" x14ac:dyDescent="0.4">
      <c r="F56" s="1"/>
      <c r="G56" s="1"/>
    </row>
    <row r="57" spans="6:7" ht="18" customHeight="1" x14ac:dyDescent="0.4">
      <c r="F57" s="1"/>
      <c r="G57" s="1"/>
    </row>
    <row r="58" spans="6:7" ht="18" customHeight="1" x14ac:dyDescent="0.4">
      <c r="F58" s="1"/>
      <c r="G58" s="1"/>
    </row>
    <row r="59" spans="6:7" ht="18" customHeight="1" x14ac:dyDescent="0.4">
      <c r="F59" s="1"/>
      <c r="G59" s="1"/>
    </row>
    <row r="60" spans="6:7" ht="18" customHeight="1" x14ac:dyDescent="0.4">
      <c r="F60" s="1"/>
      <c r="G60" s="1"/>
    </row>
    <row r="61" spans="6:7" ht="18" customHeight="1" x14ac:dyDescent="0.4">
      <c r="F61" s="1"/>
      <c r="G61" s="1"/>
    </row>
    <row r="62" spans="6:7" ht="18" customHeight="1" x14ac:dyDescent="0.4">
      <c r="F62" s="1"/>
      <c r="G62" s="1"/>
    </row>
    <row r="63" spans="6:7" ht="18" customHeight="1" x14ac:dyDescent="0.4">
      <c r="F63" s="1"/>
      <c r="G63" s="1"/>
    </row>
  </sheetData>
  <mergeCells count="2">
    <mergeCell ref="D4:E4"/>
    <mergeCell ref="F4:G4"/>
  </mergeCells>
  <phoneticPr fontId="1" type="noConversion"/>
  <conditionalFormatting sqref="Y19">
    <cfRule type="dataBar" priority="2">
      <dataBar>
        <cfvo type="min"/>
        <cfvo type="max"/>
        <color rgb="FFFF555A"/>
      </dataBar>
      <extLst>
        <ext xmlns:x14="http://schemas.microsoft.com/office/spreadsheetml/2009/9/main" uri="{B025F937-C7B1-47D3-B67F-A62EFF666E3E}">
          <x14:id>{7F450CEB-229A-4A70-8335-346B07F5B0C1}</x14:id>
        </ext>
      </extLst>
    </cfRule>
  </conditionalFormatting>
  <conditionalFormatting sqref="Y15">
    <cfRule type="colorScale" priority="1">
      <colorScale>
        <cfvo type="min"/>
        <cfvo type="max"/>
        <color rgb="FFFCFCFF"/>
        <color rgb="FFF8696B"/>
      </colorScale>
    </cfRule>
  </conditionalFormatting>
  <dataValidations count="9">
    <dataValidation type="whole" imeMode="off" allowBlank="1" showInputMessage="1" showErrorMessage="1" errorTitle="輸入錯誤" error="請輸入40至100的槓桿倍數" sqref="X7">
      <formula1>40</formula1>
      <formula2>100</formula2>
    </dataValidation>
    <dataValidation type="decimal" operator="greaterThan" allowBlank="1" showInputMessage="1" showErrorMessage="1" errorTitle="ERROR" error="請輸入大於0的值_x000a__x000a_" sqref="L5">
      <formula1>0</formula1>
    </dataValidation>
    <dataValidation type="time" imeMode="off" allowBlank="1" showInputMessage="1" showErrorMessage="1" errorTitle="格式錯誤" sqref="K19 L10 M14 L12 M16 Q18 K21">
      <formula1>0</formula1>
      <formula2>0.999305555555556</formula2>
    </dataValidation>
    <dataValidation type="date" allowBlank="1" showInputMessage="1" showErrorMessage="1" errorTitle="日期錯誤" sqref="K20 K18 L9 L11 M15">
      <formula1>36526</formula1>
      <formula2>401769</formula2>
    </dataValidation>
    <dataValidation type="decimal" imeMode="off" operator="greaterThanOrEqual" allowBlank="1" showInputMessage="1" showErrorMessage="1" errorTitle="ERROR" error="請輸入大於40的值_x000a__x000a_" sqref="K8 S6">
      <formula1>40</formula1>
    </dataValidation>
    <dataValidation type="decimal" imeMode="off" operator="greaterThan" allowBlank="1" showInputMessage="1" showErrorMessage="1" errorTitle="ERROR" error="請輸入大於0的值" sqref="M8 L4">
      <formula1>0</formula1>
    </dataValidation>
    <dataValidation type="list" allowBlank="1" showInputMessage="1" showErrorMessage="1" sqref="K4 K15 S11">
      <formula1>$D$5:$E$5</formula1>
    </dataValidation>
    <dataValidation type="decimal" imeMode="off" operator="greaterThanOrEqual" allowBlank="1" showInputMessage="1" showErrorMessage="1" errorTitle="ERROR" error="請輸入大於0的值" sqref="S5 S14 K17 K7">
      <formula1>0.01</formula1>
    </dataValidation>
    <dataValidation type="list" allowBlank="1" showInputMessage="1" showErrorMessage="1" sqref="S4 K5 K16">
      <formula1>$C$6:$C$27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8069" r:id="rId4" name="CommandButton5">
          <controlPr defaultSize="0" autoLine="0" r:id="rId5">
            <anchor moveWithCells="1">
              <from>
                <xdr:col>24</xdr:col>
                <xdr:colOff>82550</xdr:colOff>
                <xdr:row>6</xdr:row>
                <xdr:rowOff>57150</xdr:rowOff>
              </from>
              <to>
                <xdr:col>25</xdr:col>
                <xdr:colOff>387350</xdr:colOff>
                <xdr:row>7</xdr:row>
                <xdr:rowOff>209550</xdr:rowOff>
              </to>
            </anchor>
          </controlPr>
        </control>
      </mc:Choice>
      <mc:Fallback>
        <control shapeId="88069" r:id="rId4" name="CommandButton5"/>
      </mc:Fallback>
    </mc:AlternateContent>
    <mc:AlternateContent xmlns:mc="http://schemas.openxmlformats.org/markup-compatibility/2006">
      <mc:Choice Requires="x14">
        <control shapeId="88068" r:id="rId6" name="CommandButton4">
          <controlPr defaultSize="0" autoLine="0" r:id="rId7">
            <anchor moveWithCells="1">
              <from>
                <xdr:col>11</xdr:col>
                <xdr:colOff>127000</xdr:colOff>
                <xdr:row>20</xdr:row>
                <xdr:rowOff>82550</xdr:rowOff>
              </from>
              <to>
                <xdr:col>13</xdr:col>
                <xdr:colOff>158750</xdr:colOff>
                <xdr:row>21</xdr:row>
                <xdr:rowOff>209550</xdr:rowOff>
              </to>
            </anchor>
          </controlPr>
        </control>
      </mc:Choice>
      <mc:Fallback>
        <control shapeId="88068" r:id="rId6" name="CommandButton4"/>
      </mc:Fallback>
    </mc:AlternateContent>
    <mc:AlternateContent xmlns:mc="http://schemas.openxmlformats.org/markup-compatibility/2006">
      <mc:Choice Requires="x14">
        <control shapeId="88067" r:id="rId8" name="CommandButton3">
          <controlPr defaultSize="0" autoLine="0" r:id="rId9">
            <anchor moveWithCells="1">
              <from>
                <xdr:col>19</xdr:col>
                <xdr:colOff>82550</xdr:colOff>
                <xdr:row>16</xdr:row>
                <xdr:rowOff>76200</xdr:rowOff>
              </from>
              <to>
                <xdr:col>20</xdr:col>
                <xdr:colOff>342900</xdr:colOff>
                <xdr:row>17</xdr:row>
                <xdr:rowOff>196850</xdr:rowOff>
              </to>
            </anchor>
          </controlPr>
        </control>
      </mc:Choice>
      <mc:Fallback>
        <control shapeId="88067" r:id="rId8" name="CommandButton3"/>
      </mc:Fallback>
    </mc:AlternateContent>
    <mc:AlternateContent xmlns:mc="http://schemas.openxmlformats.org/markup-compatibility/2006">
      <mc:Choice Requires="x14">
        <control shapeId="88066" r:id="rId10" name="CommandButton2">
          <controlPr defaultSize="0" autoLine="0" r:id="rId11">
            <anchor moveWithCells="1">
              <from>
                <xdr:col>19</xdr:col>
                <xdr:colOff>88900</xdr:colOff>
                <xdr:row>6</xdr:row>
                <xdr:rowOff>95250</xdr:rowOff>
              </from>
              <to>
                <xdr:col>20</xdr:col>
                <xdr:colOff>412750</xdr:colOff>
                <xdr:row>7</xdr:row>
                <xdr:rowOff>203200</xdr:rowOff>
              </to>
            </anchor>
          </controlPr>
        </control>
      </mc:Choice>
      <mc:Fallback>
        <control shapeId="88066" r:id="rId10" name="CommandButton2"/>
      </mc:Fallback>
    </mc:AlternateContent>
    <mc:AlternateContent xmlns:mc="http://schemas.openxmlformats.org/markup-compatibility/2006">
      <mc:Choice Requires="x14">
        <control shapeId="88065" r:id="rId12" name="CommandButton1">
          <controlPr defaultSize="0" autoLine="0" r:id="rId13">
            <anchor moveWithCells="1">
              <from>
                <xdr:col>11</xdr:col>
                <xdr:colOff>88900</xdr:colOff>
                <xdr:row>9</xdr:row>
                <xdr:rowOff>57150</xdr:rowOff>
              </from>
              <to>
                <xdr:col>13</xdr:col>
                <xdr:colOff>127000</xdr:colOff>
                <xdr:row>11</xdr:row>
                <xdr:rowOff>0</xdr:rowOff>
              </to>
            </anchor>
          </controlPr>
        </control>
      </mc:Choice>
      <mc:Fallback>
        <control shapeId="88065" r:id="rId12"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dataBar" id="{7F450CEB-229A-4A70-8335-346B07F5B0C1}">
            <x14:dataBar minLength="0" maxLength="100" gradient="0">
              <x14:cfvo type="autoMin"/>
              <x14:cfvo type="autoMax"/>
              <x14:negativeFillColor rgb="FFFF0000"/>
              <x14:axisColor rgb="FF000000"/>
            </x14:dataBar>
          </x14:cfRule>
          <xm:sqref>Y19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'數據資料(不能刪)'!$D$4:$D$11</xm:f>
          </x14:formula1>
          <xm:sqref>X4</xm:sqref>
        </x14:dataValidation>
        <x14:dataValidation type="list" allowBlank="1" showInputMessage="1" showErrorMessage="1">
          <x14:formula1>
            <xm:f>'數據資料(不能刪)'!$E$4:$E$25</xm:f>
          </x14:formula1>
          <xm:sqref>X6</xm:sqref>
        </x14:dataValidation>
        <x14:dataValidation type="list" allowBlank="1" showInputMessage="1" showErrorMessage="1">
          <x14:formula1>
            <xm:f>'數據資料(不能刪)'!$C$4:$C$22</xm:f>
          </x14:formula1>
          <xm:sqref>S13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tabColor rgb="FFFF0000"/>
  </sheetPr>
  <dimension ref="C1:R31"/>
  <sheetViews>
    <sheetView zoomScale="70" zoomScaleNormal="70" workbookViewId="0">
      <selection activeCell="L16" sqref="L16"/>
    </sheetView>
  </sheetViews>
  <sheetFormatPr defaultRowHeight="17" x14ac:dyDescent="0.4"/>
  <cols>
    <col min="1" max="2" width="1.6328125" style="158" customWidth="1"/>
    <col min="3" max="3" width="10.08984375" style="158" bestFit="1" customWidth="1"/>
    <col min="4" max="4" width="10" style="158" bestFit="1" customWidth="1"/>
    <col min="5" max="8" width="8.7265625" style="158"/>
    <col min="9" max="9" width="13.54296875" style="158" bestFit="1" customWidth="1"/>
    <col min="10" max="10" width="5.26953125" style="205" bestFit="1" customWidth="1"/>
    <col min="11" max="11" width="14.36328125" style="158" bestFit="1" customWidth="1"/>
    <col min="12" max="12" width="8.7265625" style="158"/>
    <col min="13" max="13" width="9.26953125" style="158" customWidth="1"/>
    <col min="14" max="14" width="8.54296875" style="158" bestFit="1" customWidth="1"/>
    <col min="15" max="15" width="13.26953125" style="158" bestFit="1" customWidth="1"/>
    <col min="16" max="16" width="13.81640625" style="158" bestFit="1" customWidth="1"/>
    <col min="17" max="16384" width="8.7265625" style="158"/>
  </cols>
  <sheetData>
    <row r="1" spans="3:18" ht="17.5" thickBot="1" x14ac:dyDescent="0.45">
      <c r="E1" s="204">
        <v>5</v>
      </c>
      <c r="K1" s="204">
        <v>11</v>
      </c>
      <c r="M1" s="204">
        <v>13</v>
      </c>
      <c r="N1" s="204"/>
      <c r="O1" s="204"/>
      <c r="P1" s="204">
        <v>16</v>
      </c>
      <c r="Q1" s="204">
        <v>17</v>
      </c>
      <c r="R1" s="204"/>
    </row>
    <row r="2" spans="3:18" x14ac:dyDescent="0.4">
      <c r="C2" s="188" t="s">
        <v>6</v>
      </c>
      <c r="D2" s="18">
        <f ca="1">TODAY()</f>
        <v>42977</v>
      </c>
      <c r="E2" s="20">
        <f ca="1">NOW()</f>
        <v>42977.681774537035</v>
      </c>
      <c r="F2" s="46">
        <f ca="1">WEEKDAY(TODAY())</f>
        <v>4</v>
      </c>
      <c r="G2" s="16"/>
      <c r="I2" s="202" t="s">
        <v>534</v>
      </c>
      <c r="J2" s="181"/>
      <c r="K2" s="182" t="s">
        <v>532</v>
      </c>
      <c r="M2" s="47"/>
      <c r="N2" s="202"/>
      <c r="O2" s="237" t="s">
        <v>349</v>
      </c>
      <c r="P2" s="237"/>
    </row>
    <row r="3" spans="3:18" x14ac:dyDescent="0.4">
      <c r="C3" s="189"/>
      <c r="D3" s="53"/>
      <c r="E3" s="54"/>
      <c r="F3" s="55"/>
      <c r="G3" s="17"/>
      <c r="I3" s="49"/>
      <c r="J3" s="184"/>
      <c r="K3" s="186"/>
      <c r="M3" s="206" t="s">
        <v>557</v>
      </c>
      <c r="N3" s="206" t="s">
        <v>362</v>
      </c>
      <c r="O3" s="206" t="s">
        <v>556</v>
      </c>
      <c r="P3" s="206" t="s">
        <v>30</v>
      </c>
    </row>
    <row r="4" spans="3:18" x14ac:dyDescent="0.4">
      <c r="C4" s="190" t="s">
        <v>46</v>
      </c>
      <c r="D4" s="235" t="s">
        <v>44</v>
      </c>
      <c r="E4" s="235"/>
      <c r="F4" s="236" t="s">
        <v>36</v>
      </c>
      <c r="G4" s="236"/>
      <c r="I4" s="75" t="s">
        <v>370</v>
      </c>
      <c r="J4" s="183" t="s">
        <v>379</v>
      </c>
      <c r="K4" s="187" t="s">
        <v>559</v>
      </c>
      <c r="M4" s="178">
        <v>0.1</v>
      </c>
      <c r="N4" s="178">
        <f>ROUNDDOWN(Q4,2)</f>
        <v>7.5</v>
      </c>
      <c r="O4" s="178">
        <v>14786.25</v>
      </c>
      <c r="P4" s="178">
        <v>449206.27499999997</v>
      </c>
      <c r="Q4" s="207">
        <v>7.5001775297996449</v>
      </c>
    </row>
    <row r="5" spans="3:18" x14ac:dyDescent="0.4">
      <c r="C5" s="123" t="s">
        <v>7</v>
      </c>
      <c r="D5" s="14" t="s">
        <v>0</v>
      </c>
      <c r="E5" s="14" t="s">
        <v>1</v>
      </c>
      <c r="F5" s="31" t="s">
        <v>23</v>
      </c>
      <c r="G5" s="31" t="s">
        <v>29</v>
      </c>
      <c r="I5" s="75" t="s">
        <v>378</v>
      </c>
      <c r="J5" s="183" t="s">
        <v>528</v>
      </c>
      <c r="K5" s="198">
        <v>1000000</v>
      </c>
      <c r="M5" s="178">
        <v>0.2</v>
      </c>
      <c r="N5" s="178">
        <f t="shared" ref="N5:N13" si="0">ROUNDDOWN(Q5,2)</f>
        <v>15</v>
      </c>
      <c r="O5" s="178">
        <v>29572.5</v>
      </c>
      <c r="P5" s="178">
        <v>898412.54999999993</v>
      </c>
      <c r="Q5" s="208">
        <v>15.00035505959929</v>
      </c>
    </row>
    <row r="6" spans="3:18" x14ac:dyDescent="0.4">
      <c r="C6" s="8" t="s">
        <v>26</v>
      </c>
      <c r="D6" s="44" t="e">
        <f>[1]!EUR.102</f>
        <v>#REF!</v>
      </c>
      <c r="E6" s="44" t="e">
        <f>[1]!EUR.101</f>
        <v>#REF!</v>
      </c>
      <c r="F6" s="21">
        <v>2.25</v>
      </c>
      <c r="G6" s="21">
        <v>-9.6</v>
      </c>
      <c r="I6" s="75" t="s">
        <v>533</v>
      </c>
      <c r="J6" s="183" t="s">
        <v>379</v>
      </c>
      <c r="K6" s="187" t="s">
        <v>290</v>
      </c>
      <c r="M6" s="178">
        <v>0.3</v>
      </c>
      <c r="N6" s="178">
        <f t="shared" si="0"/>
        <v>22.5</v>
      </c>
      <c r="O6" s="178">
        <v>44358.75</v>
      </c>
      <c r="P6" s="178">
        <v>1347618.825</v>
      </c>
      <c r="Q6" s="208">
        <v>22.500532589398933</v>
      </c>
    </row>
    <row r="7" spans="3:18" ht="17.5" thickBot="1" x14ac:dyDescent="0.45">
      <c r="C7" s="8" t="s">
        <v>2</v>
      </c>
      <c r="D7" s="19" t="e">
        <f>[1]!AUD.102</f>
        <v>#REF!</v>
      </c>
      <c r="E7" s="44" t="e">
        <f>[1]!AUD.101</f>
        <v>#REF!</v>
      </c>
      <c r="F7" s="21">
        <v>-2.9499999999999997</v>
      </c>
      <c r="G7" s="21">
        <v>0.35000000000000003</v>
      </c>
      <c r="I7" s="199" t="s">
        <v>33</v>
      </c>
      <c r="J7" s="200" t="s">
        <v>34</v>
      </c>
      <c r="K7" s="201">
        <v>50</v>
      </c>
      <c r="M7" s="178">
        <v>0.4</v>
      </c>
      <c r="N7" s="178">
        <f t="shared" si="0"/>
        <v>30</v>
      </c>
      <c r="O7" s="178">
        <v>59145</v>
      </c>
      <c r="P7" s="178">
        <v>1796825.0999999999</v>
      </c>
      <c r="Q7" s="208">
        <v>30.00071011919858</v>
      </c>
    </row>
    <row r="8" spans="3:18" x14ac:dyDescent="0.4">
      <c r="C8" s="8" t="s">
        <v>3</v>
      </c>
      <c r="D8" s="44" t="e">
        <f>[1]!GBP.102</f>
        <v>#REF!</v>
      </c>
      <c r="E8" s="44" t="e">
        <f>[1]!GBP.101</f>
        <v>#REF!</v>
      </c>
      <c r="F8" s="21">
        <v>1.55</v>
      </c>
      <c r="G8" s="21">
        <v>-7.35</v>
      </c>
      <c r="M8" s="178">
        <v>0.5</v>
      </c>
      <c r="N8" s="178">
        <f t="shared" si="0"/>
        <v>37.5</v>
      </c>
      <c r="O8" s="178">
        <v>73931.25</v>
      </c>
      <c r="P8" s="178">
        <v>2246031.375</v>
      </c>
      <c r="Q8" s="208">
        <v>37.500887648998223</v>
      </c>
    </row>
    <row r="9" spans="3:18" x14ac:dyDescent="0.4">
      <c r="C9" s="8" t="s">
        <v>541</v>
      </c>
      <c r="D9" s="44" t="e">
        <f>[1]!NZD.102</f>
        <v>#REF!</v>
      </c>
      <c r="E9" s="44" t="e">
        <f>[1]!NZD.101</f>
        <v>#REF!</v>
      </c>
      <c r="F9" s="21">
        <v>0.25</v>
      </c>
      <c r="G9" s="21">
        <v>0.255</v>
      </c>
      <c r="L9" s="204"/>
      <c r="M9" s="178">
        <v>0.6</v>
      </c>
      <c r="N9" s="178">
        <f t="shared" si="0"/>
        <v>45</v>
      </c>
      <c r="O9" s="178">
        <v>88717.5</v>
      </c>
      <c r="P9" s="178">
        <v>2695237.65</v>
      </c>
      <c r="Q9" s="208">
        <v>45.001065178797866</v>
      </c>
    </row>
    <row r="10" spans="3:18" x14ac:dyDescent="0.4">
      <c r="C10" s="9" t="s">
        <v>161</v>
      </c>
      <c r="D10" s="44" t="e">
        <f>[1]!JPY.102</f>
        <v>#REF!</v>
      </c>
      <c r="E10" s="44" t="e">
        <f>[1]!JPY.101</f>
        <v>#REF!</v>
      </c>
      <c r="F10" s="21">
        <v>-8.1</v>
      </c>
      <c r="G10" s="21">
        <v>1.7999999999999998</v>
      </c>
      <c r="M10" s="178">
        <v>0.7</v>
      </c>
      <c r="N10" s="178">
        <f t="shared" si="0"/>
        <v>52.5</v>
      </c>
      <c r="O10" s="178">
        <v>103503.75</v>
      </c>
      <c r="P10" s="178">
        <v>3144443.9249999998</v>
      </c>
      <c r="Q10" s="208">
        <v>52.501242708597516</v>
      </c>
    </row>
    <row r="11" spans="3:18" x14ac:dyDescent="0.4">
      <c r="C11" s="9" t="s">
        <v>9</v>
      </c>
      <c r="D11" s="44" t="e">
        <f>[1]!CNY.102</f>
        <v>#REF!</v>
      </c>
      <c r="E11" s="44" t="e">
        <f>[1]!CNY.101</f>
        <v>#REF!</v>
      </c>
      <c r="F11" s="21">
        <v>-1.7000000000000002</v>
      </c>
      <c r="G11" s="21">
        <v>-58.8</v>
      </c>
      <c r="M11" s="178">
        <v>0.8</v>
      </c>
      <c r="N11" s="178">
        <f t="shared" si="0"/>
        <v>60</v>
      </c>
      <c r="O11" s="178">
        <v>118290</v>
      </c>
      <c r="P11" s="178">
        <v>3593650.1999999997</v>
      </c>
      <c r="Q11" s="208">
        <v>60.001420238397159</v>
      </c>
    </row>
    <row r="12" spans="3:18" x14ac:dyDescent="0.4">
      <c r="C12" s="9" t="s">
        <v>18</v>
      </c>
      <c r="D12" s="44" t="e">
        <f>[1]!CAD.102</f>
        <v>#REF!</v>
      </c>
      <c r="E12" s="44" t="e">
        <f>[1]!CAD.101</f>
        <v>#REF!</v>
      </c>
      <c r="F12" s="21">
        <v>-5.25</v>
      </c>
      <c r="G12" s="21">
        <v>0.65</v>
      </c>
      <c r="M12" s="178">
        <v>0.9</v>
      </c>
      <c r="N12" s="178">
        <f t="shared" si="0"/>
        <v>67.5</v>
      </c>
      <c r="O12" s="178">
        <v>133076.25</v>
      </c>
      <c r="P12" s="178">
        <v>4042856.4750000001</v>
      </c>
      <c r="Q12" s="208">
        <v>67.501597768196802</v>
      </c>
    </row>
    <row r="13" spans="3:18" ht="17.5" thickBot="1" x14ac:dyDescent="0.45">
      <c r="C13" s="10" t="s">
        <v>10</v>
      </c>
      <c r="D13" s="44" t="e">
        <f>[1]!EURJPY.102</f>
        <v>#REF!</v>
      </c>
      <c r="E13" s="44" t="e">
        <f>[1]!EURJPY.101</f>
        <v>#REF!</v>
      </c>
      <c r="F13" s="21">
        <v>0</v>
      </c>
      <c r="G13" s="21">
        <v>-2.9000000000000004</v>
      </c>
      <c r="M13" s="203">
        <v>1</v>
      </c>
      <c r="N13" s="203">
        <f t="shared" si="0"/>
        <v>75</v>
      </c>
      <c r="O13" s="203">
        <v>147862.5</v>
      </c>
      <c r="P13" s="203">
        <v>4492062.75</v>
      </c>
      <c r="Q13" s="208">
        <v>75.001775297996446</v>
      </c>
    </row>
    <row r="14" spans="3:18" x14ac:dyDescent="0.4">
      <c r="C14" s="10" t="s">
        <v>11</v>
      </c>
      <c r="D14" s="44" t="e">
        <f>[1]!EURAUD.102</f>
        <v>#REF!</v>
      </c>
      <c r="E14" s="19" t="e">
        <f>[1]!EURAUD.101</f>
        <v>#REF!</v>
      </c>
      <c r="F14" s="21">
        <v>3.75</v>
      </c>
      <c r="G14" s="21">
        <v>-17.95</v>
      </c>
    </row>
    <row r="15" spans="3:18" x14ac:dyDescent="0.4">
      <c r="C15" s="27" t="s">
        <v>558</v>
      </c>
      <c r="D15" s="44">
        <v>1.46183</v>
      </c>
      <c r="E15" s="44">
        <v>1.46313</v>
      </c>
      <c r="F15" s="21">
        <v>1.5</v>
      </c>
      <c r="G15" s="21">
        <v>-8.25</v>
      </c>
    </row>
    <row r="16" spans="3:18" x14ac:dyDescent="0.4">
      <c r="C16" s="10" t="s">
        <v>13</v>
      </c>
      <c r="D16" s="44" t="e">
        <f>[1]!EURGBP.102</f>
        <v>#REF!</v>
      </c>
      <c r="E16" s="44" t="e">
        <f>[1]!EURGBP.101</f>
        <v>#REF!</v>
      </c>
      <c r="F16" s="21">
        <v>0.4</v>
      </c>
      <c r="G16" s="21">
        <v>-3.25</v>
      </c>
    </row>
    <row r="17" spans="3:7" x14ac:dyDescent="0.4">
      <c r="C17" s="27" t="s">
        <v>14</v>
      </c>
      <c r="D17" s="44">
        <v>1.56291</v>
      </c>
      <c r="E17" s="44">
        <v>1.56569</v>
      </c>
      <c r="F17" s="21">
        <v>4</v>
      </c>
      <c r="G17" s="21">
        <v>-19.5</v>
      </c>
    </row>
    <row r="18" spans="3:7" x14ac:dyDescent="0.4">
      <c r="C18" s="57" t="s">
        <v>27</v>
      </c>
      <c r="D18" s="44" t="e">
        <f>[1]!AUDNZD.102</f>
        <v>#REF!</v>
      </c>
      <c r="E18" s="44" t="e">
        <f>[1]!AUDNZD.101</f>
        <v>#REF!</v>
      </c>
      <c r="F18" s="21">
        <v>-2.25</v>
      </c>
      <c r="G18" s="21">
        <v>-1.05</v>
      </c>
    </row>
    <row r="19" spans="3:7" x14ac:dyDescent="0.4">
      <c r="C19" s="57" t="s">
        <v>28</v>
      </c>
      <c r="D19" s="44" t="e">
        <f>[1]!AUDJPY.102</f>
        <v>#REF!</v>
      </c>
      <c r="E19" s="67" t="e">
        <f>[1]!AUDJPY.101</f>
        <v>#REF!</v>
      </c>
      <c r="F19" s="21">
        <v>-10.25</v>
      </c>
      <c r="G19" s="21">
        <v>1.8499999999999999</v>
      </c>
    </row>
    <row r="20" spans="3:7" x14ac:dyDescent="0.4">
      <c r="C20" s="29" t="s">
        <v>19</v>
      </c>
      <c r="D20" s="44">
        <v>0.99187000000000003</v>
      </c>
      <c r="E20" s="44">
        <v>0.99333000000000005</v>
      </c>
      <c r="F20" s="21">
        <v>-7.6499999999999995</v>
      </c>
      <c r="G20" s="21">
        <v>1.2</v>
      </c>
    </row>
    <row r="21" spans="3:7" x14ac:dyDescent="0.4">
      <c r="C21" s="11" t="s">
        <v>15</v>
      </c>
      <c r="D21" s="44" t="e">
        <f>1/([1]!AUDGBP.102)</f>
        <v>#REF!</v>
      </c>
      <c r="E21" s="44" t="e">
        <f>1/([1]!AUDGBP.101)</f>
        <v>#REF!</v>
      </c>
      <c r="F21" s="21">
        <v>2.9499999999999997</v>
      </c>
      <c r="G21" s="21">
        <v>-15.85</v>
      </c>
    </row>
    <row r="22" spans="3:7" x14ac:dyDescent="0.4">
      <c r="C22" s="28" t="s">
        <v>20</v>
      </c>
      <c r="D22" s="44">
        <v>1.62869</v>
      </c>
      <c r="E22" s="44">
        <v>1.6210100000000001</v>
      </c>
      <c r="F22" s="21">
        <v>0.5</v>
      </c>
      <c r="G22" s="21">
        <v>-4.95</v>
      </c>
    </row>
    <row r="23" spans="3:7" x14ac:dyDescent="0.4">
      <c r="C23" s="11" t="s">
        <v>551</v>
      </c>
      <c r="D23" s="44" t="e">
        <f>[1]!GBPJPY.102</f>
        <v>#REF!</v>
      </c>
      <c r="E23" s="44" t="e">
        <f>[1]!GBPJPY.101</f>
        <v>#REF!</v>
      </c>
      <c r="F23" s="21">
        <v>-4.05</v>
      </c>
      <c r="G23" s="21">
        <v>0.25</v>
      </c>
    </row>
    <row r="24" spans="3:7" x14ac:dyDescent="0.4">
      <c r="C24" s="28" t="s">
        <v>16</v>
      </c>
      <c r="D24" s="44">
        <v>1.74095</v>
      </c>
      <c r="E24" s="44">
        <v>1.74519</v>
      </c>
      <c r="F24" s="21">
        <v>3.25</v>
      </c>
      <c r="G24" s="21">
        <v>-16.5</v>
      </c>
    </row>
    <row r="25" spans="3:7" x14ac:dyDescent="0.4">
      <c r="C25" s="30" t="s">
        <v>21</v>
      </c>
      <c r="D25" s="19">
        <v>0.93420000000000003</v>
      </c>
      <c r="E25" s="44">
        <v>0.93577999999999995</v>
      </c>
      <c r="F25" s="21">
        <v>-7.35</v>
      </c>
      <c r="G25" s="21">
        <v>1.05</v>
      </c>
    </row>
    <row r="26" spans="3:7" x14ac:dyDescent="0.4">
      <c r="C26" s="12" t="s">
        <v>22</v>
      </c>
      <c r="D26" s="44" t="e">
        <f>[1]!NZDJPY.102</f>
        <v>#REF!</v>
      </c>
      <c r="E26" s="44" t="e">
        <f>[1]!NZDJPY.101</f>
        <v>#REF!</v>
      </c>
      <c r="F26" s="21">
        <v>-8.85</v>
      </c>
      <c r="G26" s="21">
        <v>1.7500000000000002</v>
      </c>
    </row>
    <row r="27" spans="3:7" ht="17.5" thickBot="1" x14ac:dyDescent="0.45">
      <c r="C27" s="87" t="s">
        <v>24</v>
      </c>
      <c r="D27" s="88">
        <v>88.326999999999998</v>
      </c>
      <c r="E27" s="88">
        <v>88.366</v>
      </c>
      <c r="F27" s="89">
        <v>-4.1500000000000004</v>
      </c>
      <c r="G27" s="89">
        <v>0.65</v>
      </c>
    </row>
    <row r="28" spans="3:7" x14ac:dyDescent="0.4">
      <c r="C28" s="90"/>
      <c r="D28" s="7"/>
      <c r="E28" s="7"/>
      <c r="F28" s="86"/>
      <c r="G28" s="86"/>
    </row>
    <row r="29" spans="3:7" x14ac:dyDescent="0.4">
      <c r="C29" s="90"/>
      <c r="D29" s="7"/>
      <c r="E29" s="7"/>
      <c r="F29" s="86"/>
      <c r="G29" s="86"/>
    </row>
    <row r="30" spans="3:7" ht="17.5" thickBot="1" x14ac:dyDescent="0.45">
      <c r="C30" s="90"/>
      <c r="D30" s="84" t="s">
        <v>301</v>
      </c>
      <c r="E30" s="84" t="s">
        <v>300</v>
      </c>
      <c r="F30" s="86"/>
      <c r="G30" s="86"/>
    </row>
    <row r="31" spans="3:7" ht="17.5" thickBot="1" x14ac:dyDescent="0.45">
      <c r="C31" s="209" t="s">
        <v>287</v>
      </c>
      <c r="D31" s="56">
        <v>30.28</v>
      </c>
      <c r="E31" s="56">
        <v>30.38</v>
      </c>
      <c r="F31" s="45"/>
      <c r="G31" s="45"/>
    </row>
  </sheetData>
  <mergeCells count="3">
    <mergeCell ref="D4:E4"/>
    <mergeCell ref="F4:G4"/>
    <mergeCell ref="O2:P2"/>
  </mergeCells>
  <phoneticPr fontId="1" type="noConversion"/>
  <dataValidations count="2">
    <dataValidation type="whole" imeMode="off" allowBlank="1" showInputMessage="1" showErrorMessage="1" errorTitle="輸入錯誤" error="請輸入40至100的槓桿倍數" sqref="K7">
      <formula1>40</formula1>
      <formula2>100</formula2>
    </dataValidation>
    <dataValidation type="decimal" imeMode="off" operator="greaterThan" allowBlank="1" showInputMessage="1" showErrorMessage="1" errorTitle="Error" sqref="K5">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9873" r:id="rId4" name="CommandButton1">
          <controlPr defaultSize="0" autoLine="0" r:id="rId5">
            <anchor moveWithCells="1">
              <from>
                <xdr:col>10</xdr:col>
                <xdr:colOff>234950</xdr:colOff>
                <xdr:row>7</xdr:row>
                <xdr:rowOff>152400</xdr:rowOff>
              </from>
              <to>
                <xdr:col>11</xdr:col>
                <xdr:colOff>0</xdr:colOff>
                <xdr:row>9</xdr:row>
                <xdr:rowOff>25400</xdr:rowOff>
              </to>
            </anchor>
          </controlPr>
        </control>
      </mc:Choice>
      <mc:Fallback>
        <control shapeId="79873"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'數據資料(不能刪)'!$E$4:$E$25</xm:f>
          </x14:formula1>
          <xm:sqref>K6</xm:sqref>
        </x14:dataValidation>
        <x14:dataValidation type="list" allowBlank="1" showInputMessage="1" showErrorMessage="1">
          <x14:formula1>
            <xm:f>'數據資料(不能刪)'!$O$3:$O$10</xm:f>
          </x14:formula1>
          <xm:sqref>K4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rgb="FFFFC000"/>
  </sheetPr>
  <dimension ref="B1:O103"/>
  <sheetViews>
    <sheetView zoomScale="70" zoomScaleNormal="70" workbookViewId="0">
      <selection activeCell="D27" sqref="D27"/>
    </sheetView>
  </sheetViews>
  <sheetFormatPr defaultColWidth="8.7265625" defaultRowHeight="17" x14ac:dyDescent="0.4"/>
  <cols>
    <col min="1" max="1" width="8.7265625" style="92"/>
    <col min="2" max="2" width="24" style="92" bestFit="1" customWidth="1"/>
    <col min="3" max="3" width="10" style="93" customWidth="1"/>
    <col min="4" max="4" width="45.90625" style="93" bestFit="1" customWidth="1"/>
    <col min="5" max="5" width="26.26953125" style="92" bestFit="1" customWidth="1"/>
    <col min="6" max="6" width="8.453125" style="92" bestFit="1" customWidth="1"/>
    <col min="7" max="7" width="8.453125" style="92" customWidth="1"/>
    <col min="8" max="8" width="18" style="92" bestFit="1" customWidth="1"/>
    <col min="9" max="9" width="21.7265625" style="92" bestFit="1" customWidth="1"/>
    <col min="10" max="10" width="22.08984375" style="93" bestFit="1" customWidth="1"/>
    <col min="11" max="16384" width="8.7265625" style="92"/>
  </cols>
  <sheetData>
    <row r="1" spans="2:15" ht="17.5" thickBot="1" x14ac:dyDescent="0.45"/>
    <row r="2" spans="2:15" x14ac:dyDescent="0.4">
      <c r="B2" s="94" t="s">
        <v>380</v>
      </c>
      <c r="C2" s="95"/>
      <c r="D2" s="96">
        <v>42951</v>
      </c>
      <c r="E2" s="97">
        <v>6</v>
      </c>
      <c r="F2" s="98"/>
      <c r="G2" s="98"/>
      <c r="H2" s="98"/>
      <c r="I2" s="98"/>
      <c r="J2" s="95"/>
    </row>
    <row r="3" spans="2:15" x14ac:dyDescent="0.4">
      <c r="B3" s="99"/>
      <c r="C3" s="100"/>
      <c r="D3" s="100"/>
      <c r="E3" s="99"/>
      <c r="F3" s="99"/>
      <c r="G3" s="99"/>
      <c r="H3" s="99"/>
      <c r="I3" s="99"/>
      <c r="J3" s="100"/>
    </row>
    <row r="4" spans="2:15" x14ac:dyDescent="0.4">
      <c r="B4" s="101" t="s">
        <v>381</v>
      </c>
      <c r="C4" s="102" t="s">
        <v>382</v>
      </c>
      <c r="D4" s="102" t="s">
        <v>383</v>
      </c>
      <c r="E4" s="101" t="s">
        <v>384</v>
      </c>
      <c r="F4" s="101" t="s">
        <v>385</v>
      </c>
      <c r="G4" s="117" t="s">
        <v>386</v>
      </c>
      <c r="H4" s="101" t="s">
        <v>387</v>
      </c>
      <c r="I4" s="101" t="s">
        <v>388</v>
      </c>
      <c r="J4" s="102" t="s">
        <v>195</v>
      </c>
      <c r="N4" s="103" t="s">
        <v>172</v>
      </c>
    </row>
    <row r="5" spans="2:15" x14ac:dyDescent="0.4">
      <c r="B5" s="104" t="s">
        <v>506</v>
      </c>
      <c r="C5" s="105" t="s">
        <v>499</v>
      </c>
      <c r="D5" s="105" t="s">
        <v>142</v>
      </c>
      <c r="E5" s="107" t="s">
        <v>408</v>
      </c>
      <c r="F5" s="115" t="s">
        <v>63</v>
      </c>
      <c r="G5" s="114"/>
      <c r="H5" s="109">
        <v>-1.7</v>
      </c>
      <c r="I5" s="104">
        <v>-1.7</v>
      </c>
      <c r="J5" s="111" t="s">
        <v>206</v>
      </c>
    </row>
    <row r="6" spans="2:15" x14ac:dyDescent="0.4">
      <c r="B6" s="104" t="s">
        <v>512</v>
      </c>
      <c r="C6" s="105" t="s">
        <v>513</v>
      </c>
      <c r="D6" s="106" t="s">
        <v>90</v>
      </c>
      <c r="E6" s="107" t="s">
        <v>431</v>
      </c>
      <c r="F6" s="108" t="s">
        <v>63</v>
      </c>
      <c r="G6" s="114"/>
      <c r="H6" s="109">
        <v>1.5</v>
      </c>
      <c r="I6" s="104">
        <v>1.6</v>
      </c>
      <c r="J6" s="107" t="s">
        <v>98</v>
      </c>
      <c r="N6" s="92" t="s">
        <v>326</v>
      </c>
      <c r="O6" s="92" t="s">
        <v>327</v>
      </c>
    </row>
    <row r="7" spans="2:15" x14ac:dyDescent="0.4">
      <c r="B7" s="104" t="s">
        <v>512</v>
      </c>
      <c r="C7" s="105" t="s">
        <v>513</v>
      </c>
      <c r="D7" s="106" t="s">
        <v>94</v>
      </c>
      <c r="E7" s="107" t="s">
        <v>431</v>
      </c>
      <c r="F7" s="108" t="s">
        <v>63</v>
      </c>
      <c r="G7" s="114"/>
      <c r="H7" s="109">
        <v>0.2</v>
      </c>
      <c r="I7" s="104">
        <v>0.2</v>
      </c>
      <c r="J7" s="107" t="s">
        <v>97</v>
      </c>
    </row>
    <row r="8" spans="2:15" x14ac:dyDescent="0.4">
      <c r="B8" s="104" t="s">
        <v>412</v>
      </c>
      <c r="C8" s="105" t="s">
        <v>413</v>
      </c>
      <c r="D8" s="105" t="s">
        <v>414</v>
      </c>
      <c r="E8" s="107" t="s">
        <v>415</v>
      </c>
      <c r="F8" s="108" t="s">
        <v>63</v>
      </c>
      <c r="G8" s="103"/>
      <c r="H8" s="109">
        <v>0.2</v>
      </c>
      <c r="I8" s="104">
        <v>0.2</v>
      </c>
      <c r="J8" s="112" t="s">
        <v>149</v>
      </c>
    </row>
    <row r="9" spans="2:15" x14ac:dyDescent="0.4">
      <c r="B9" s="104" t="s">
        <v>412</v>
      </c>
      <c r="C9" s="105" t="s">
        <v>413</v>
      </c>
      <c r="D9" s="106" t="s">
        <v>150</v>
      </c>
      <c r="E9" s="107" t="s">
        <v>415</v>
      </c>
      <c r="F9" s="108" t="s">
        <v>63</v>
      </c>
      <c r="G9" s="103"/>
      <c r="H9" s="109">
        <v>0.2</v>
      </c>
      <c r="I9" s="104">
        <v>0.2</v>
      </c>
      <c r="J9" s="107" t="s">
        <v>149</v>
      </c>
    </row>
    <row r="10" spans="2:15" x14ac:dyDescent="0.4">
      <c r="B10" s="104" t="s">
        <v>412</v>
      </c>
      <c r="C10" s="105" t="s">
        <v>413</v>
      </c>
      <c r="D10" s="106" t="s">
        <v>419</v>
      </c>
      <c r="E10" s="107" t="s">
        <v>415</v>
      </c>
      <c r="F10" s="108" t="s">
        <v>68</v>
      </c>
      <c r="G10" s="103"/>
      <c r="H10" s="109">
        <v>4.0999999999999996</v>
      </c>
      <c r="I10" s="104">
        <v>3.3</v>
      </c>
      <c r="J10" s="107" t="s">
        <v>151</v>
      </c>
    </row>
    <row r="11" spans="2:15" x14ac:dyDescent="0.4">
      <c r="B11" s="104" t="s">
        <v>407</v>
      </c>
      <c r="C11" s="105" t="s">
        <v>390</v>
      </c>
      <c r="D11" s="106" t="s">
        <v>118</v>
      </c>
      <c r="E11" s="107" t="s">
        <v>408</v>
      </c>
      <c r="F11" s="108" t="s">
        <v>63</v>
      </c>
      <c r="G11" s="103"/>
      <c r="H11" s="109">
        <v>93.1</v>
      </c>
      <c r="I11" s="104">
        <v>93.1</v>
      </c>
      <c r="J11" s="107" t="s">
        <v>117</v>
      </c>
    </row>
    <row r="12" spans="2:15" x14ac:dyDescent="0.4">
      <c r="B12" s="104" t="s">
        <v>447</v>
      </c>
      <c r="C12" s="105" t="s">
        <v>448</v>
      </c>
      <c r="D12" s="106" t="s">
        <v>449</v>
      </c>
      <c r="E12" s="107" t="s">
        <v>391</v>
      </c>
      <c r="F12" s="108" t="s">
        <v>63</v>
      </c>
      <c r="G12" s="114"/>
      <c r="H12" s="109">
        <v>51.5</v>
      </c>
      <c r="I12" s="104">
        <v>51.7</v>
      </c>
      <c r="J12" s="107" t="s">
        <v>61</v>
      </c>
    </row>
    <row r="13" spans="2:15" x14ac:dyDescent="0.4">
      <c r="B13" s="104" t="s">
        <v>501</v>
      </c>
      <c r="C13" s="105" t="s">
        <v>499</v>
      </c>
      <c r="D13" s="106" t="s">
        <v>129</v>
      </c>
      <c r="E13" s="107" t="s">
        <v>502</v>
      </c>
      <c r="F13" s="108" t="s">
        <v>65</v>
      </c>
      <c r="G13" s="114"/>
      <c r="H13" s="109">
        <v>1.1000000000000001</v>
      </c>
      <c r="I13" s="104">
        <v>1.1000000000000001</v>
      </c>
      <c r="J13" s="107" t="s">
        <v>128</v>
      </c>
    </row>
    <row r="14" spans="2:15" x14ac:dyDescent="0.4">
      <c r="B14" s="104" t="s">
        <v>501</v>
      </c>
      <c r="C14" s="105" t="s">
        <v>499</v>
      </c>
      <c r="D14" s="105" t="s">
        <v>79</v>
      </c>
      <c r="E14" s="107" t="s">
        <v>393</v>
      </c>
      <c r="F14" s="115" t="s">
        <v>65</v>
      </c>
      <c r="G14" s="114"/>
      <c r="H14" s="109">
        <v>9.1999999999999993</v>
      </c>
      <c r="I14" s="104">
        <v>9.3000000000000007</v>
      </c>
      <c r="J14" s="111" t="s">
        <v>213</v>
      </c>
    </row>
    <row r="15" spans="2:15" x14ac:dyDescent="0.4">
      <c r="B15" s="104" t="s">
        <v>518</v>
      </c>
      <c r="C15" s="105" t="s">
        <v>513</v>
      </c>
      <c r="D15" s="106" t="s">
        <v>159</v>
      </c>
      <c r="E15" s="107" t="s">
        <v>393</v>
      </c>
      <c r="F15" s="108" t="s">
        <v>65</v>
      </c>
      <c r="G15" s="114"/>
      <c r="H15" s="109">
        <v>0.2</v>
      </c>
      <c r="I15" s="104">
        <v>0.5</v>
      </c>
      <c r="J15" s="107" t="s">
        <v>158</v>
      </c>
    </row>
    <row r="16" spans="2:15" x14ac:dyDescent="0.4">
      <c r="B16" s="104" t="s">
        <v>518</v>
      </c>
      <c r="C16" s="105" t="s">
        <v>513</v>
      </c>
      <c r="D16" s="106" t="s">
        <v>96</v>
      </c>
      <c r="E16" s="107" t="s">
        <v>393</v>
      </c>
      <c r="F16" s="108" t="s">
        <v>65</v>
      </c>
      <c r="G16" s="114"/>
      <c r="H16" s="109">
        <v>2.7</v>
      </c>
      <c r="I16" s="104">
        <v>4.8</v>
      </c>
      <c r="J16" s="107" t="s">
        <v>160</v>
      </c>
    </row>
    <row r="17" spans="2:10" x14ac:dyDescent="0.4">
      <c r="B17" s="104" t="s">
        <v>397</v>
      </c>
      <c r="C17" s="105" t="s">
        <v>390</v>
      </c>
      <c r="D17" s="106" t="s">
        <v>153</v>
      </c>
      <c r="E17" s="107" t="s">
        <v>391</v>
      </c>
      <c r="F17" s="108" t="s">
        <v>63</v>
      </c>
      <c r="G17" s="103"/>
      <c r="H17" s="109">
        <v>59</v>
      </c>
      <c r="I17" s="104">
        <v>65.7</v>
      </c>
      <c r="J17" s="107" t="s">
        <v>152</v>
      </c>
    </row>
    <row r="18" spans="2:10" x14ac:dyDescent="0.4">
      <c r="B18" s="104" t="s">
        <v>445</v>
      </c>
      <c r="C18" s="105" t="s">
        <v>425</v>
      </c>
      <c r="D18" s="105" t="s">
        <v>446</v>
      </c>
      <c r="E18" s="107" t="s">
        <v>408</v>
      </c>
      <c r="F18" s="115" t="s">
        <v>63</v>
      </c>
      <c r="G18" s="114"/>
      <c r="H18" s="109" t="s">
        <v>404</v>
      </c>
      <c r="I18" s="104">
        <v>52.2</v>
      </c>
      <c r="J18" s="111" t="s">
        <v>218</v>
      </c>
    </row>
    <row r="19" spans="2:10" x14ac:dyDescent="0.4">
      <c r="B19" s="104" t="s">
        <v>450</v>
      </c>
      <c r="C19" s="105" t="s">
        <v>448</v>
      </c>
      <c r="D19" s="106" t="s">
        <v>451</v>
      </c>
      <c r="E19" s="107" t="s">
        <v>391</v>
      </c>
      <c r="F19" s="108" t="s">
        <v>63</v>
      </c>
      <c r="G19" s="114"/>
      <c r="H19" s="109">
        <v>50.4</v>
      </c>
      <c r="I19" s="104">
        <v>50.4</v>
      </c>
      <c r="J19" s="107" t="s">
        <v>64</v>
      </c>
    </row>
    <row r="20" spans="2:10" x14ac:dyDescent="0.4">
      <c r="B20" s="104" t="s">
        <v>473</v>
      </c>
      <c r="C20" s="105" t="s">
        <v>463</v>
      </c>
      <c r="D20" s="105" t="s">
        <v>474</v>
      </c>
      <c r="E20" s="107" t="s">
        <v>475</v>
      </c>
      <c r="F20" s="115" t="s">
        <v>63</v>
      </c>
      <c r="G20" s="114"/>
      <c r="H20" s="109">
        <v>1.5</v>
      </c>
      <c r="I20" s="104">
        <v>1.5</v>
      </c>
      <c r="J20" s="111" t="s">
        <v>252</v>
      </c>
    </row>
    <row r="21" spans="2:10" x14ac:dyDescent="0.4">
      <c r="B21" s="104" t="s">
        <v>476</v>
      </c>
      <c r="C21" s="105" t="s">
        <v>463</v>
      </c>
      <c r="D21" s="105" t="s">
        <v>477</v>
      </c>
      <c r="E21" s="107" t="s">
        <v>391</v>
      </c>
      <c r="F21" s="115" t="s">
        <v>63</v>
      </c>
      <c r="G21" s="114"/>
      <c r="H21" s="109" t="s">
        <v>404</v>
      </c>
      <c r="I21" s="104">
        <v>25</v>
      </c>
      <c r="J21" s="111" t="s">
        <v>254</v>
      </c>
    </row>
    <row r="22" spans="2:10" x14ac:dyDescent="0.4">
      <c r="B22" s="104" t="s">
        <v>519</v>
      </c>
      <c r="C22" s="105" t="s">
        <v>513</v>
      </c>
      <c r="D22" s="105" t="s">
        <v>520</v>
      </c>
      <c r="E22" s="107" t="s">
        <v>408</v>
      </c>
      <c r="F22" s="115" t="s">
        <v>63</v>
      </c>
      <c r="G22" s="114"/>
      <c r="H22" s="109">
        <v>58.3</v>
      </c>
      <c r="I22" s="104">
        <v>58.3</v>
      </c>
      <c r="J22" s="111" t="s">
        <v>256</v>
      </c>
    </row>
    <row r="23" spans="2:10" x14ac:dyDescent="0.4">
      <c r="B23" s="104" t="s">
        <v>510</v>
      </c>
      <c r="C23" s="105" t="s">
        <v>499</v>
      </c>
      <c r="D23" s="105" t="s">
        <v>511</v>
      </c>
      <c r="E23" s="107" t="s">
        <v>408</v>
      </c>
      <c r="F23" s="115" t="s">
        <v>63</v>
      </c>
      <c r="G23" s="114"/>
      <c r="H23" s="109">
        <v>56.8</v>
      </c>
      <c r="I23" s="104">
        <v>56.8</v>
      </c>
      <c r="J23" s="111" t="s">
        <v>215</v>
      </c>
    </row>
    <row r="24" spans="2:10" x14ac:dyDescent="0.4">
      <c r="B24" s="104" t="s">
        <v>498</v>
      </c>
      <c r="C24" s="105" t="s">
        <v>499</v>
      </c>
      <c r="D24" s="106" t="s">
        <v>103</v>
      </c>
      <c r="E24" s="107" t="s">
        <v>500</v>
      </c>
      <c r="F24" s="108" t="s">
        <v>63</v>
      </c>
      <c r="G24" s="114"/>
      <c r="H24" s="109">
        <v>0.55000000000000004</v>
      </c>
      <c r="I24" s="104">
        <v>0.5</v>
      </c>
      <c r="J24" s="107" t="s">
        <v>102</v>
      </c>
    </row>
    <row r="25" spans="2:10" x14ac:dyDescent="0.4">
      <c r="B25" s="104" t="s">
        <v>498</v>
      </c>
      <c r="C25" s="105" t="s">
        <v>499</v>
      </c>
      <c r="D25" s="106" t="s">
        <v>105</v>
      </c>
      <c r="E25" s="107" t="s">
        <v>500</v>
      </c>
      <c r="F25" s="108" t="s">
        <v>63</v>
      </c>
      <c r="G25" s="114"/>
      <c r="H25" s="109">
        <v>2.1</v>
      </c>
      <c r="I25" s="104">
        <v>1.9</v>
      </c>
      <c r="J25" s="107" t="s">
        <v>104</v>
      </c>
    </row>
    <row r="26" spans="2:10" x14ac:dyDescent="0.4">
      <c r="B26" s="110" t="s">
        <v>392</v>
      </c>
      <c r="C26" s="105" t="s">
        <v>390</v>
      </c>
      <c r="D26" s="106" t="s">
        <v>71</v>
      </c>
      <c r="E26" s="107" t="s">
        <v>393</v>
      </c>
      <c r="F26" s="108" t="s">
        <v>63</v>
      </c>
      <c r="G26" s="103"/>
      <c r="H26" s="109">
        <v>0.1</v>
      </c>
      <c r="I26" s="104">
        <v>7.0000000000000007E-2</v>
      </c>
      <c r="J26" s="107" t="s">
        <v>70</v>
      </c>
    </row>
    <row r="27" spans="2:10" x14ac:dyDescent="0.4">
      <c r="B27" s="104" t="s">
        <v>392</v>
      </c>
      <c r="C27" s="105" t="s">
        <v>390</v>
      </c>
      <c r="D27" s="106" t="s">
        <v>73</v>
      </c>
      <c r="E27" s="107" t="s">
        <v>393</v>
      </c>
      <c r="F27" s="108" t="s">
        <v>63</v>
      </c>
      <c r="G27" s="103"/>
      <c r="H27" s="109">
        <v>0.1</v>
      </c>
      <c r="I27" s="104">
        <v>0.1</v>
      </c>
      <c r="J27" s="107" t="s">
        <v>72</v>
      </c>
    </row>
    <row r="28" spans="2:10" x14ac:dyDescent="0.4">
      <c r="B28" s="104" t="s">
        <v>416</v>
      </c>
      <c r="C28" s="105" t="s">
        <v>413</v>
      </c>
      <c r="D28" s="105" t="s">
        <v>417</v>
      </c>
      <c r="E28" s="107" t="s">
        <v>391</v>
      </c>
      <c r="F28" s="108" t="s">
        <v>63</v>
      </c>
      <c r="G28" s="103"/>
      <c r="H28" s="109" t="s">
        <v>404</v>
      </c>
      <c r="I28" s="104">
        <v>54.7</v>
      </c>
      <c r="J28" s="112" t="s">
        <v>176</v>
      </c>
    </row>
    <row r="29" spans="2:10" x14ac:dyDescent="0.4">
      <c r="B29" s="104" t="s">
        <v>389</v>
      </c>
      <c r="C29" s="105" t="s">
        <v>390</v>
      </c>
      <c r="D29" s="106" t="s">
        <v>67</v>
      </c>
      <c r="E29" s="107" t="s">
        <v>391</v>
      </c>
      <c r="F29" s="108" t="s">
        <v>63</v>
      </c>
      <c r="G29" s="103"/>
      <c r="H29" s="109">
        <v>56.2</v>
      </c>
      <c r="I29" s="104">
        <v>57.8</v>
      </c>
      <c r="J29" s="107" t="s">
        <v>66</v>
      </c>
    </row>
    <row r="30" spans="2:10" x14ac:dyDescent="0.4">
      <c r="B30" s="104" t="s">
        <v>480</v>
      </c>
      <c r="C30" s="105" t="s">
        <v>479</v>
      </c>
      <c r="D30" s="105" t="s">
        <v>79</v>
      </c>
      <c r="E30" s="107" t="s">
        <v>466</v>
      </c>
      <c r="F30" s="115" t="s">
        <v>63</v>
      </c>
      <c r="G30" s="114"/>
      <c r="H30" s="109">
        <v>4.8</v>
      </c>
      <c r="I30" s="104">
        <v>4.9000000000000004</v>
      </c>
      <c r="J30" s="113" t="s">
        <v>175</v>
      </c>
    </row>
    <row r="31" spans="2:10" x14ac:dyDescent="0.4">
      <c r="B31" s="104" t="s">
        <v>394</v>
      </c>
      <c r="C31" s="105" t="s">
        <v>390</v>
      </c>
      <c r="D31" s="106" t="s">
        <v>74</v>
      </c>
      <c r="E31" s="107" t="s">
        <v>391</v>
      </c>
      <c r="F31" s="108" t="s">
        <v>63</v>
      </c>
      <c r="G31" s="103"/>
      <c r="H31" s="109">
        <v>195</v>
      </c>
      <c r="I31" s="104">
        <v>158</v>
      </c>
      <c r="J31" s="107" t="s">
        <v>325</v>
      </c>
    </row>
    <row r="32" spans="2:10" x14ac:dyDescent="0.4">
      <c r="B32" s="104" t="s">
        <v>469</v>
      </c>
      <c r="C32" s="105" t="s">
        <v>463</v>
      </c>
      <c r="D32" s="105" t="s">
        <v>69</v>
      </c>
      <c r="E32" s="107" t="s">
        <v>393</v>
      </c>
      <c r="F32" s="115" t="s">
        <v>63</v>
      </c>
      <c r="G32" s="114"/>
      <c r="H32" s="109">
        <v>1800</v>
      </c>
      <c r="I32" s="104">
        <v>2471</v>
      </c>
      <c r="J32" s="111" t="s">
        <v>245</v>
      </c>
    </row>
    <row r="33" spans="2:10" x14ac:dyDescent="0.4">
      <c r="B33" s="104" t="s">
        <v>488</v>
      </c>
      <c r="C33" s="105" t="s">
        <v>489</v>
      </c>
      <c r="D33" s="105" t="s">
        <v>490</v>
      </c>
      <c r="E33" s="107" t="s">
        <v>491</v>
      </c>
      <c r="F33" s="115" t="s">
        <v>63</v>
      </c>
      <c r="G33" s="114"/>
      <c r="H33" s="109">
        <v>0.25</v>
      </c>
      <c r="I33" s="104">
        <v>0.25</v>
      </c>
      <c r="J33" s="113" t="s">
        <v>75</v>
      </c>
    </row>
    <row r="34" spans="2:10" x14ac:dyDescent="0.4">
      <c r="B34" s="104" t="s">
        <v>395</v>
      </c>
      <c r="C34" s="105" t="s">
        <v>390</v>
      </c>
      <c r="D34" s="106" t="s">
        <v>77</v>
      </c>
      <c r="E34" s="107" t="s">
        <v>396</v>
      </c>
      <c r="F34" s="108" t="s">
        <v>63</v>
      </c>
      <c r="G34" s="103"/>
      <c r="H34" s="109">
        <v>240</v>
      </c>
      <c r="I34" s="104">
        <v>244</v>
      </c>
      <c r="J34" s="107" t="s">
        <v>76</v>
      </c>
    </row>
    <row r="35" spans="2:10" x14ac:dyDescent="0.4">
      <c r="B35" s="104" t="s">
        <v>470</v>
      </c>
      <c r="C35" s="105" t="s">
        <v>463</v>
      </c>
      <c r="D35" s="105" t="s">
        <v>471</v>
      </c>
      <c r="E35" s="107" t="s">
        <v>393</v>
      </c>
      <c r="F35" s="115" t="s">
        <v>63</v>
      </c>
      <c r="G35" s="114"/>
      <c r="H35" s="109">
        <v>0.2</v>
      </c>
      <c r="I35" s="104">
        <v>0.6</v>
      </c>
      <c r="J35" s="111" t="s">
        <v>246</v>
      </c>
    </row>
    <row r="36" spans="2:10" x14ac:dyDescent="0.4">
      <c r="B36" s="104" t="s">
        <v>400</v>
      </c>
      <c r="C36" s="105" t="s">
        <v>390</v>
      </c>
      <c r="D36" s="106" t="s">
        <v>401</v>
      </c>
      <c r="E36" s="107" t="s">
        <v>391</v>
      </c>
      <c r="F36" s="108" t="s">
        <v>63</v>
      </c>
      <c r="G36" s="103"/>
      <c r="H36" s="109">
        <v>183</v>
      </c>
      <c r="I36" s="104">
        <v>222</v>
      </c>
      <c r="J36" s="107" t="s">
        <v>80</v>
      </c>
    </row>
    <row r="37" spans="2:10" x14ac:dyDescent="0.4">
      <c r="B37" s="104" t="s">
        <v>400</v>
      </c>
      <c r="C37" s="105" t="s">
        <v>413</v>
      </c>
      <c r="D37" s="106" t="s">
        <v>79</v>
      </c>
      <c r="E37" s="107" t="s">
        <v>391</v>
      </c>
      <c r="F37" s="108" t="s">
        <v>63</v>
      </c>
      <c r="G37" s="103"/>
      <c r="H37" s="109">
        <v>6.5</v>
      </c>
      <c r="I37" s="104">
        <v>6.5</v>
      </c>
      <c r="J37" s="107" t="s">
        <v>78</v>
      </c>
    </row>
    <row r="38" spans="2:10" x14ac:dyDescent="0.4">
      <c r="B38" s="104" t="s">
        <v>452</v>
      </c>
      <c r="C38" s="105" t="s">
        <v>448</v>
      </c>
      <c r="D38" s="106" t="s">
        <v>453</v>
      </c>
      <c r="E38" s="107" t="s">
        <v>391</v>
      </c>
      <c r="F38" s="108" t="s">
        <v>65</v>
      </c>
      <c r="G38" s="114"/>
      <c r="H38" s="109" t="s">
        <v>404</v>
      </c>
      <c r="I38" s="104">
        <v>11.3</v>
      </c>
      <c r="J38" s="113" t="s">
        <v>83</v>
      </c>
    </row>
    <row r="39" spans="2:10" s="121" customFormat="1" x14ac:dyDescent="0.4">
      <c r="B39" s="104" t="s">
        <v>452</v>
      </c>
      <c r="C39" s="105" t="s">
        <v>448</v>
      </c>
      <c r="D39" s="116" t="s">
        <v>69</v>
      </c>
      <c r="E39" s="107" t="s">
        <v>391</v>
      </c>
      <c r="F39" s="108" t="s">
        <v>65</v>
      </c>
      <c r="G39" s="114"/>
      <c r="H39" s="109" t="s">
        <v>404</v>
      </c>
      <c r="I39" s="104">
        <v>42.75</v>
      </c>
      <c r="J39" s="107" t="s">
        <v>82</v>
      </c>
    </row>
    <row r="40" spans="2:10" x14ac:dyDescent="0.4">
      <c r="B40" s="104" t="s">
        <v>455</v>
      </c>
      <c r="C40" s="105" t="s">
        <v>448</v>
      </c>
      <c r="D40" s="105" t="s">
        <v>456</v>
      </c>
      <c r="E40" s="107" t="s">
        <v>391</v>
      </c>
      <c r="F40" s="115" t="s">
        <v>63</v>
      </c>
      <c r="G40" s="114"/>
      <c r="H40" s="109" t="s">
        <v>404</v>
      </c>
      <c r="I40" s="104">
        <v>5.5</v>
      </c>
      <c r="J40" s="111" t="s">
        <v>87</v>
      </c>
    </row>
    <row r="41" spans="2:10" x14ac:dyDescent="0.4">
      <c r="B41" s="104" t="s">
        <v>455</v>
      </c>
      <c r="C41" s="105" t="s">
        <v>448</v>
      </c>
      <c r="D41" s="105" t="s">
        <v>457</v>
      </c>
      <c r="E41" s="107" t="s">
        <v>391</v>
      </c>
      <c r="F41" s="115" t="s">
        <v>63</v>
      </c>
      <c r="G41" s="114"/>
      <c r="H41" s="109" t="s">
        <v>404</v>
      </c>
      <c r="I41" s="104">
        <v>1.5</v>
      </c>
      <c r="J41" s="111" t="s">
        <v>89</v>
      </c>
    </row>
    <row r="42" spans="2:10" x14ac:dyDescent="0.4">
      <c r="B42" s="104" t="s">
        <v>429</v>
      </c>
      <c r="C42" s="105" t="s">
        <v>425</v>
      </c>
      <c r="D42" s="106" t="s">
        <v>430</v>
      </c>
      <c r="E42" s="107" t="s">
        <v>431</v>
      </c>
      <c r="F42" s="108" t="s">
        <v>65</v>
      </c>
      <c r="G42" s="103"/>
      <c r="H42" s="109" t="s">
        <v>404</v>
      </c>
      <c r="I42" s="104">
        <v>31.1</v>
      </c>
      <c r="J42" s="107" t="s">
        <v>92</v>
      </c>
    </row>
    <row r="43" spans="2:10" x14ac:dyDescent="0.4">
      <c r="B43" s="104" t="s">
        <v>429</v>
      </c>
      <c r="C43" s="105" t="s">
        <v>425</v>
      </c>
      <c r="D43" s="106" t="s">
        <v>91</v>
      </c>
      <c r="E43" s="107" t="s">
        <v>431</v>
      </c>
      <c r="F43" s="108" t="s">
        <v>65</v>
      </c>
      <c r="G43" s="103"/>
      <c r="H43" s="109" t="s">
        <v>404</v>
      </c>
      <c r="I43" s="104">
        <v>31.1</v>
      </c>
      <c r="J43" s="107" t="s">
        <v>92</v>
      </c>
    </row>
    <row r="44" spans="2:10" x14ac:dyDescent="0.4">
      <c r="B44" s="104" t="s">
        <v>481</v>
      </c>
      <c r="C44" s="105" t="s">
        <v>479</v>
      </c>
      <c r="D44" s="105" t="s">
        <v>482</v>
      </c>
      <c r="E44" s="107" t="s">
        <v>483</v>
      </c>
      <c r="F44" s="115" t="s">
        <v>63</v>
      </c>
      <c r="G44" s="114"/>
      <c r="H44" s="109">
        <v>1.75</v>
      </c>
      <c r="I44" s="104">
        <v>1.75</v>
      </c>
      <c r="J44" s="111" t="s">
        <v>231</v>
      </c>
    </row>
    <row r="45" spans="2:10" x14ac:dyDescent="0.4">
      <c r="B45" s="104" t="s">
        <v>406</v>
      </c>
      <c r="C45" s="105" t="s">
        <v>390</v>
      </c>
      <c r="D45" s="106" t="s">
        <v>111</v>
      </c>
      <c r="E45" s="107" t="s">
        <v>391</v>
      </c>
      <c r="F45" s="108" t="s">
        <v>63</v>
      </c>
      <c r="G45" s="103"/>
      <c r="H45" s="109" t="s">
        <v>404</v>
      </c>
      <c r="I45" s="104">
        <v>0.2</v>
      </c>
      <c r="J45" s="107" t="s">
        <v>110</v>
      </c>
    </row>
    <row r="46" spans="2:10" x14ac:dyDescent="0.4">
      <c r="B46" s="104" t="s">
        <v>406</v>
      </c>
      <c r="C46" s="105" t="s">
        <v>390</v>
      </c>
      <c r="D46" s="106" t="s">
        <v>113</v>
      </c>
      <c r="E46" s="107" t="s">
        <v>391</v>
      </c>
      <c r="F46" s="108" t="s">
        <v>63</v>
      </c>
      <c r="G46" s="103"/>
      <c r="H46" s="109" t="s">
        <v>404</v>
      </c>
      <c r="I46" s="104">
        <v>1.7</v>
      </c>
      <c r="J46" s="107" t="s">
        <v>112</v>
      </c>
    </row>
    <row r="47" spans="2:10" x14ac:dyDescent="0.4">
      <c r="B47" s="104" t="s">
        <v>406</v>
      </c>
      <c r="C47" s="105" t="s">
        <v>390</v>
      </c>
      <c r="D47" s="106" t="s">
        <v>88</v>
      </c>
      <c r="E47" s="107" t="s">
        <v>391</v>
      </c>
      <c r="F47" s="108" t="s">
        <v>63</v>
      </c>
      <c r="G47" s="103"/>
      <c r="H47" s="109" t="s">
        <v>404</v>
      </c>
      <c r="I47" s="104">
        <v>2.2000000000000002</v>
      </c>
      <c r="J47" s="107" t="s">
        <v>114</v>
      </c>
    </row>
    <row r="48" spans="2:10" x14ac:dyDescent="0.4">
      <c r="B48" s="104" t="s">
        <v>406</v>
      </c>
      <c r="C48" s="105" t="s">
        <v>390</v>
      </c>
      <c r="D48" s="106" t="s">
        <v>116</v>
      </c>
      <c r="E48" s="107" t="s">
        <v>391</v>
      </c>
      <c r="F48" s="108" t="s">
        <v>63</v>
      </c>
      <c r="G48" s="103"/>
      <c r="H48" s="109" t="s">
        <v>404</v>
      </c>
      <c r="I48" s="104">
        <v>0.2</v>
      </c>
      <c r="J48" s="107" t="s">
        <v>115</v>
      </c>
    </row>
    <row r="49" spans="2:10" x14ac:dyDescent="0.4">
      <c r="B49" s="104" t="s">
        <v>485</v>
      </c>
      <c r="C49" s="105" t="s">
        <v>479</v>
      </c>
      <c r="D49" s="105" t="s">
        <v>486</v>
      </c>
      <c r="E49" s="107" t="s">
        <v>391</v>
      </c>
      <c r="F49" s="115" t="s">
        <v>63</v>
      </c>
      <c r="G49" s="114"/>
      <c r="H49" s="109" t="s">
        <v>404</v>
      </c>
      <c r="I49" s="104">
        <v>56.2</v>
      </c>
      <c r="J49" s="111" t="s">
        <v>235</v>
      </c>
    </row>
    <row r="50" spans="2:10" x14ac:dyDescent="0.4">
      <c r="B50" s="104" t="s">
        <v>409</v>
      </c>
      <c r="C50" s="105" t="s">
        <v>390</v>
      </c>
      <c r="D50" s="106" t="s">
        <v>124</v>
      </c>
      <c r="E50" s="107" t="s">
        <v>391</v>
      </c>
      <c r="F50" s="108" t="s">
        <v>63</v>
      </c>
      <c r="G50" s="103"/>
      <c r="H50" s="109" t="s">
        <v>404</v>
      </c>
      <c r="I50" s="104">
        <v>1.7</v>
      </c>
      <c r="J50" s="107" t="s">
        <v>123</v>
      </c>
    </row>
    <row r="51" spans="2:10" x14ac:dyDescent="0.4">
      <c r="B51" s="104" t="s">
        <v>409</v>
      </c>
      <c r="C51" s="105" t="s">
        <v>390</v>
      </c>
      <c r="D51" s="106" t="s">
        <v>90</v>
      </c>
      <c r="E51" s="107" t="s">
        <v>391</v>
      </c>
      <c r="F51" s="108" t="s">
        <v>63</v>
      </c>
      <c r="G51" s="103"/>
      <c r="H51" s="109" t="s">
        <v>404</v>
      </c>
      <c r="I51" s="104">
        <v>1.6</v>
      </c>
      <c r="J51" s="107" t="s">
        <v>125</v>
      </c>
    </row>
    <row r="52" spans="2:10" x14ac:dyDescent="0.4">
      <c r="B52" s="104" t="s">
        <v>432</v>
      </c>
      <c r="C52" s="105" t="s">
        <v>425</v>
      </c>
      <c r="D52" s="106" t="s">
        <v>433</v>
      </c>
      <c r="E52" s="107" t="s">
        <v>434</v>
      </c>
      <c r="F52" s="108" t="s">
        <v>63</v>
      </c>
      <c r="G52" s="103"/>
      <c r="H52" s="109" t="s">
        <v>404</v>
      </c>
      <c r="I52" s="104">
        <v>0.3</v>
      </c>
      <c r="J52" s="107" t="s">
        <v>119</v>
      </c>
    </row>
    <row r="53" spans="2:10" x14ac:dyDescent="0.4">
      <c r="B53" s="104" t="s">
        <v>454</v>
      </c>
      <c r="C53" s="105" t="s">
        <v>448</v>
      </c>
      <c r="D53" s="106" t="s">
        <v>96</v>
      </c>
      <c r="E53" s="107" t="s">
        <v>391</v>
      </c>
      <c r="F53" s="108" t="s">
        <v>63</v>
      </c>
      <c r="G53" s="114"/>
      <c r="H53" s="109" t="s">
        <v>404</v>
      </c>
      <c r="I53" s="104">
        <v>11</v>
      </c>
      <c r="J53" s="107" t="s">
        <v>95</v>
      </c>
    </row>
    <row r="54" spans="2:10" x14ac:dyDescent="0.4">
      <c r="B54" s="104" t="s">
        <v>514</v>
      </c>
      <c r="C54" s="105" t="s">
        <v>513</v>
      </c>
      <c r="D54" s="106" t="s">
        <v>515</v>
      </c>
      <c r="E54" s="107" t="s">
        <v>434</v>
      </c>
      <c r="F54" s="108" t="s">
        <v>65</v>
      </c>
      <c r="G54" s="114"/>
      <c r="H54" s="109" t="s">
        <v>404</v>
      </c>
      <c r="I54" s="104">
        <v>2.9</v>
      </c>
      <c r="J54" s="107" t="s">
        <v>99</v>
      </c>
    </row>
    <row r="55" spans="2:10" x14ac:dyDescent="0.4">
      <c r="B55" s="104" t="s">
        <v>514</v>
      </c>
      <c r="C55" s="105" t="s">
        <v>513</v>
      </c>
      <c r="D55" s="106" t="s">
        <v>516</v>
      </c>
      <c r="E55" s="107" t="s">
        <v>434</v>
      </c>
      <c r="F55" s="108" t="s">
        <v>63</v>
      </c>
      <c r="G55" s="114"/>
      <c r="H55" s="109" t="s">
        <v>404</v>
      </c>
      <c r="I55" s="104">
        <v>0.6</v>
      </c>
      <c r="J55" s="107" t="s">
        <v>100</v>
      </c>
    </row>
    <row r="56" spans="2:10" x14ac:dyDescent="0.4">
      <c r="B56" s="104" t="s">
        <v>514</v>
      </c>
      <c r="C56" s="105" t="s">
        <v>513</v>
      </c>
      <c r="D56" s="106" t="s">
        <v>517</v>
      </c>
      <c r="E56" s="107" t="s">
        <v>434</v>
      </c>
      <c r="F56" s="108" t="s">
        <v>63</v>
      </c>
      <c r="G56" s="114"/>
      <c r="H56" s="109" t="s">
        <v>404</v>
      </c>
      <c r="I56" s="104">
        <v>1.7</v>
      </c>
      <c r="J56" s="107" t="s">
        <v>101</v>
      </c>
    </row>
    <row r="57" spans="2:10" x14ac:dyDescent="0.4">
      <c r="B57" s="104" t="s">
        <v>514</v>
      </c>
      <c r="C57" s="105" t="s">
        <v>513</v>
      </c>
      <c r="D57" s="105" t="s">
        <v>521</v>
      </c>
      <c r="E57" s="107" t="s">
        <v>434</v>
      </c>
      <c r="F57" s="115" t="s">
        <v>63</v>
      </c>
      <c r="G57" s="114"/>
      <c r="H57" s="109" t="s">
        <v>404</v>
      </c>
      <c r="I57" s="104">
        <v>1.7</v>
      </c>
      <c r="J57" s="111" t="s">
        <v>101</v>
      </c>
    </row>
    <row r="58" spans="2:10" x14ac:dyDescent="0.4">
      <c r="B58" s="104" t="s">
        <v>494</v>
      </c>
      <c r="C58" s="105" t="s">
        <v>489</v>
      </c>
      <c r="D58" s="105" t="s">
        <v>495</v>
      </c>
      <c r="E58" s="107" t="s">
        <v>391</v>
      </c>
      <c r="F58" s="115" t="s">
        <v>63</v>
      </c>
      <c r="G58" s="114"/>
      <c r="H58" s="109" t="s">
        <v>404</v>
      </c>
      <c r="I58" s="104">
        <v>0</v>
      </c>
      <c r="J58" s="111" t="s">
        <v>120</v>
      </c>
    </row>
    <row r="59" spans="2:10" x14ac:dyDescent="0.4">
      <c r="B59" s="104" t="s">
        <v>494</v>
      </c>
      <c r="C59" s="105" t="s">
        <v>489</v>
      </c>
      <c r="D59" s="105" t="s">
        <v>457</v>
      </c>
      <c r="E59" s="107" t="s">
        <v>391</v>
      </c>
      <c r="F59" s="115" t="s">
        <v>63</v>
      </c>
      <c r="G59" s="114"/>
      <c r="H59" s="109" t="s">
        <v>404</v>
      </c>
      <c r="I59" s="104">
        <v>2.6</v>
      </c>
      <c r="J59" s="111" t="s">
        <v>121</v>
      </c>
    </row>
    <row r="60" spans="2:10" x14ac:dyDescent="0.4">
      <c r="B60" s="104" t="s">
        <v>494</v>
      </c>
      <c r="C60" s="105" t="s">
        <v>489</v>
      </c>
      <c r="D60" s="105" t="s">
        <v>496</v>
      </c>
      <c r="E60" s="107" t="s">
        <v>391</v>
      </c>
      <c r="F60" s="115" t="s">
        <v>63</v>
      </c>
      <c r="G60" s="114"/>
      <c r="H60" s="109" t="s">
        <v>404</v>
      </c>
      <c r="I60" s="104">
        <v>2.4</v>
      </c>
      <c r="J60" s="111" t="s">
        <v>122</v>
      </c>
    </row>
    <row r="61" spans="2:10" x14ac:dyDescent="0.4">
      <c r="B61" s="104" t="s">
        <v>494</v>
      </c>
      <c r="C61" s="105" t="s">
        <v>489</v>
      </c>
      <c r="D61" s="105" t="s">
        <v>497</v>
      </c>
      <c r="E61" s="107" t="s">
        <v>391</v>
      </c>
      <c r="F61" s="115" t="s">
        <v>65</v>
      </c>
      <c r="G61" s="114"/>
      <c r="H61" s="109" t="s">
        <v>404</v>
      </c>
      <c r="I61" s="104">
        <v>272.3</v>
      </c>
      <c r="J61" s="111" t="s">
        <v>173</v>
      </c>
    </row>
    <row r="62" spans="2:10" x14ac:dyDescent="0.4">
      <c r="B62" s="104" t="s">
        <v>402</v>
      </c>
      <c r="C62" s="105" t="s">
        <v>390</v>
      </c>
      <c r="D62" s="106" t="s">
        <v>403</v>
      </c>
      <c r="E62" s="107" t="s">
        <v>391</v>
      </c>
      <c r="F62" s="108" t="s">
        <v>63</v>
      </c>
      <c r="G62" s="103"/>
      <c r="H62" s="109" t="s">
        <v>404</v>
      </c>
      <c r="I62" s="104">
        <v>-0.1</v>
      </c>
      <c r="J62" s="107" t="s">
        <v>106</v>
      </c>
    </row>
    <row r="63" spans="2:10" x14ac:dyDescent="0.4">
      <c r="B63" s="104" t="s">
        <v>402</v>
      </c>
      <c r="C63" s="105" t="s">
        <v>390</v>
      </c>
      <c r="D63" s="106" t="s">
        <v>405</v>
      </c>
      <c r="E63" s="107" t="s">
        <v>391</v>
      </c>
      <c r="F63" s="108" t="s">
        <v>63</v>
      </c>
      <c r="G63" s="103"/>
      <c r="H63" s="109" t="s">
        <v>404</v>
      </c>
      <c r="I63" s="104">
        <v>-0.2</v>
      </c>
      <c r="J63" s="107" t="s">
        <v>108</v>
      </c>
    </row>
    <row r="64" spans="2:10" x14ac:dyDescent="0.4">
      <c r="B64" s="104" t="s">
        <v>428</v>
      </c>
      <c r="C64" s="105" t="s">
        <v>425</v>
      </c>
      <c r="D64" s="106" t="s">
        <v>84</v>
      </c>
      <c r="E64" s="107" t="s">
        <v>391</v>
      </c>
      <c r="F64" s="108" t="s">
        <v>65</v>
      </c>
      <c r="G64" s="103"/>
      <c r="H64" s="109" t="s">
        <v>404</v>
      </c>
      <c r="I64" s="104">
        <v>439.84699999999998</v>
      </c>
      <c r="J64" s="107" t="s">
        <v>126</v>
      </c>
    </row>
    <row r="65" spans="2:10" x14ac:dyDescent="0.4">
      <c r="B65" s="104" t="s">
        <v>462</v>
      </c>
      <c r="C65" s="105" t="s">
        <v>463</v>
      </c>
      <c r="D65" s="106" t="s">
        <v>79</v>
      </c>
      <c r="E65" s="107" t="s">
        <v>391</v>
      </c>
      <c r="F65" s="108" t="s">
        <v>63</v>
      </c>
      <c r="G65" s="114"/>
      <c r="H65" s="109" t="s">
        <v>404</v>
      </c>
      <c r="I65" s="104">
        <v>5.6</v>
      </c>
      <c r="J65" s="107" t="s">
        <v>127</v>
      </c>
    </row>
    <row r="66" spans="2:10" x14ac:dyDescent="0.4">
      <c r="B66" s="104" t="s">
        <v>503</v>
      </c>
      <c r="C66" s="105" t="s">
        <v>499</v>
      </c>
      <c r="D66" s="106" t="s">
        <v>131</v>
      </c>
      <c r="E66" s="107" t="s">
        <v>391</v>
      </c>
      <c r="F66" s="108" t="s">
        <v>63</v>
      </c>
      <c r="G66" s="114"/>
      <c r="H66" s="109" t="s">
        <v>404</v>
      </c>
      <c r="I66" s="104">
        <v>0</v>
      </c>
      <c r="J66" s="107" t="s">
        <v>130</v>
      </c>
    </row>
    <row r="67" spans="2:10" x14ac:dyDescent="0.4">
      <c r="B67" s="104" t="s">
        <v>503</v>
      </c>
      <c r="C67" s="105" t="s">
        <v>499</v>
      </c>
      <c r="D67" s="106" t="s">
        <v>133</v>
      </c>
      <c r="E67" s="107" t="s">
        <v>408</v>
      </c>
      <c r="F67" s="108" t="s">
        <v>63</v>
      </c>
      <c r="G67" s="114"/>
      <c r="H67" s="109" t="s">
        <v>404</v>
      </c>
      <c r="I67" s="104">
        <v>1.3</v>
      </c>
      <c r="J67" s="107" t="s">
        <v>132</v>
      </c>
    </row>
    <row r="68" spans="2:10" x14ac:dyDescent="0.4">
      <c r="B68" s="104" t="s">
        <v>418</v>
      </c>
      <c r="C68" s="105" t="s">
        <v>413</v>
      </c>
      <c r="D68" s="106" t="s">
        <v>85</v>
      </c>
      <c r="E68" s="107" t="s">
        <v>391</v>
      </c>
      <c r="F68" s="108" t="s">
        <v>63</v>
      </c>
      <c r="G68" s="103"/>
      <c r="H68" s="109" t="s">
        <v>404</v>
      </c>
      <c r="I68" s="104">
        <v>-0.1</v>
      </c>
      <c r="J68" s="107" t="s">
        <v>134</v>
      </c>
    </row>
    <row r="69" spans="2:10" x14ac:dyDescent="0.4">
      <c r="B69" s="104" t="s">
        <v>418</v>
      </c>
      <c r="C69" s="105" t="s">
        <v>413</v>
      </c>
      <c r="D69" s="106" t="s">
        <v>86</v>
      </c>
      <c r="E69" s="107" t="s">
        <v>391</v>
      </c>
      <c r="F69" s="108" t="s">
        <v>63</v>
      </c>
      <c r="G69" s="103"/>
      <c r="H69" s="109" t="s">
        <v>404</v>
      </c>
      <c r="I69" s="104">
        <v>1</v>
      </c>
      <c r="J69" s="107" t="s">
        <v>135</v>
      </c>
    </row>
    <row r="70" spans="2:10" x14ac:dyDescent="0.4">
      <c r="B70" s="104" t="s">
        <v>410</v>
      </c>
      <c r="C70" s="105" t="s">
        <v>390</v>
      </c>
      <c r="D70" s="105" t="s">
        <v>411</v>
      </c>
      <c r="E70" s="107" t="s">
        <v>393</v>
      </c>
      <c r="F70" s="108" t="s">
        <v>63</v>
      </c>
      <c r="G70" s="103"/>
      <c r="H70" s="109" t="s">
        <v>404</v>
      </c>
      <c r="I70" s="104">
        <v>-0.1</v>
      </c>
      <c r="J70" s="111" t="s">
        <v>138</v>
      </c>
    </row>
    <row r="71" spans="2:10" x14ac:dyDescent="0.4">
      <c r="B71" s="104" t="s">
        <v>410</v>
      </c>
      <c r="C71" s="105" t="s">
        <v>413</v>
      </c>
      <c r="D71" s="106" t="s">
        <v>137</v>
      </c>
      <c r="E71" s="107" t="s">
        <v>393</v>
      </c>
      <c r="F71" s="108" t="s">
        <v>63</v>
      </c>
      <c r="G71" s="103"/>
      <c r="H71" s="109" t="s">
        <v>404</v>
      </c>
      <c r="I71" s="104">
        <v>0.6</v>
      </c>
      <c r="J71" s="107" t="s">
        <v>136</v>
      </c>
    </row>
    <row r="72" spans="2:10" x14ac:dyDescent="0.4">
      <c r="B72" s="104" t="s">
        <v>410</v>
      </c>
      <c r="C72" s="105" t="s">
        <v>413</v>
      </c>
      <c r="D72" s="105" t="s">
        <v>423</v>
      </c>
      <c r="E72" s="107" t="s">
        <v>393</v>
      </c>
      <c r="F72" s="108" t="s">
        <v>63</v>
      </c>
      <c r="G72" s="103"/>
      <c r="H72" s="109" t="s">
        <v>404</v>
      </c>
      <c r="I72" s="104">
        <v>0.6</v>
      </c>
      <c r="J72" s="111" t="s">
        <v>136</v>
      </c>
    </row>
    <row r="73" spans="2:10" x14ac:dyDescent="0.4">
      <c r="B73" s="104" t="s">
        <v>484</v>
      </c>
      <c r="C73" s="105" t="s">
        <v>479</v>
      </c>
      <c r="D73" s="105" t="s">
        <v>69</v>
      </c>
      <c r="E73" s="107" t="s">
        <v>391</v>
      </c>
      <c r="F73" s="115" t="s">
        <v>63</v>
      </c>
      <c r="G73" s="114"/>
      <c r="H73" s="109" t="s">
        <v>404</v>
      </c>
      <c r="I73" s="104">
        <v>241.62</v>
      </c>
      <c r="J73" s="111" t="s">
        <v>233</v>
      </c>
    </row>
    <row r="74" spans="2:10" x14ac:dyDescent="0.4">
      <c r="B74" s="104" t="s">
        <v>492</v>
      </c>
      <c r="C74" s="105" t="s">
        <v>489</v>
      </c>
      <c r="D74" s="105" t="s">
        <v>493</v>
      </c>
      <c r="E74" s="107" t="s">
        <v>434</v>
      </c>
      <c r="F74" s="115" t="s">
        <v>63</v>
      </c>
      <c r="G74" s="114"/>
      <c r="H74" s="109" t="s">
        <v>404</v>
      </c>
      <c r="I74" s="104">
        <v>0.3</v>
      </c>
      <c r="J74" s="111" t="s">
        <v>143</v>
      </c>
    </row>
    <row r="75" spans="2:10" x14ac:dyDescent="0.4">
      <c r="B75" s="104" t="s">
        <v>492</v>
      </c>
      <c r="C75" s="105" t="s">
        <v>489</v>
      </c>
      <c r="D75" s="105" t="s">
        <v>459</v>
      </c>
      <c r="E75" s="107" t="s">
        <v>434</v>
      </c>
      <c r="F75" s="115" t="s">
        <v>63</v>
      </c>
      <c r="G75" s="114"/>
      <c r="H75" s="109" t="s">
        <v>404</v>
      </c>
      <c r="I75" s="104">
        <v>1.7</v>
      </c>
      <c r="J75" s="111" t="s">
        <v>144</v>
      </c>
    </row>
    <row r="76" spans="2:10" x14ac:dyDescent="0.4">
      <c r="B76" s="104" t="s">
        <v>426</v>
      </c>
      <c r="C76" s="105" t="s">
        <v>425</v>
      </c>
      <c r="D76" s="105" t="s">
        <v>427</v>
      </c>
      <c r="E76" s="107" t="s">
        <v>393</v>
      </c>
      <c r="F76" s="108" t="s">
        <v>63</v>
      </c>
      <c r="G76" s="103"/>
      <c r="H76" s="109">
        <v>0.4</v>
      </c>
      <c r="I76" s="104">
        <v>0.4</v>
      </c>
      <c r="J76" s="113" t="s">
        <v>139</v>
      </c>
    </row>
    <row r="77" spans="2:10" x14ac:dyDescent="0.4">
      <c r="B77" s="104" t="s">
        <v>426</v>
      </c>
      <c r="C77" s="105" t="s">
        <v>425</v>
      </c>
      <c r="D77" s="105" t="s">
        <v>440</v>
      </c>
      <c r="E77" s="107" t="s">
        <v>391</v>
      </c>
      <c r="F77" s="115" t="s">
        <v>65</v>
      </c>
      <c r="G77" s="114"/>
      <c r="H77" s="109">
        <v>0.1</v>
      </c>
      <c r="I77" s="104">
        <v>0.1</v>
      </c>
      <c r="J77" s="111" t="s">
        <v>140</v>
      </c>
    </row>
    <row r="78" spans="2:10" x14ac:dyDescent="0.4">
      <c r="B78" s="104" t="s">
        <v>426</v>
      </c>
      <c r="C78" s="105" t="s">
        <v>425</v>
      </c>
      <c r="D78" s="105" t="s">
        <v>441</v>
      </c>
      <c r="E78" s="107" t="s">
        <v>391</v>
      </c>
      <c r="F78" s="115" t="s">
        <v>63</v>
      </c>
      <c r="G78" s="114"/>
      <c r="H78" s="109">
        <v>0.1</v>
      </c>
      <c r="I78" s="104">
        <v>0.2</v>
      </c>
      <c r="J78" s="111" t="s">
        <v>141</v>
      </c>
    </row>
    <row r="79" spans="2:10" x14ac:dyDescent="0.4">
      <c r="B79" s="104" t="s">
        <v>424</v>
      </c>
      <c r="C79" s="105" t="s">
        <v>425</v>
      </c>
      <c r="D79" s="106" t="s">
        <v>79</v>
      </c>
      <c r="E79" s="107" t="s">
        <v>393</v>
      </c>
      <c r="F79" s="108" t="s">
        <v>63</v>
      </c>
      <c r="G79" s="103"/>
      <c r="H79" s="109">
        <v>3</v>
      </c>
      <c r="I79" s="104">
        <v>2.8</v>
      </c>
      <c r="J79" s="107" t="s">
        <v>145</v>
      </c>
    </row>
    <row r="80" spans="2:10" x14ac:dyDescent="0.4">
      <c r="B80" s="104" t="s">
        <v>438</v>
      </c>
      <c r="C80" s="105" t="s">
        <v>425</v>
      </c>
      <c r="D80" s="106" t="s">
        <v>439</v>
      </c>
      <c r="E80" s="107" t="s">
        <v>393</v>
      </c>
      <c r="F80" s="115" t="s">
        <v>65</v>
      </c>
      <c r="G80" s="114"/>
      <c r="H80" s="109">
        <v>2.4</v>
      </c>
      <c r="I80" s="104">
        <v>2.1</v>
      </c>
      <c r="J80" s="107" t="s">
        <v>147</v>
      </c>
    </row>
    <row r="81" spans="2:10" x14ac:dyDescent="0.4">
      <c r="B81" s="104" t="s">
        <v>438</v>
      </c>
      <c r="C81" s="105" t="s">
        <v>425</v>
      </c>
      <c r="D81" s="105" t="s">
        <v>442</v>
      </c>
      <c r="E81" s="107" t="s">
        <v>393</v>
      </c>
      <c r="F81" s="115" t="s">
        <v>65</v>
      </c>
      <c r="G81" s="114"/>
      <c r="H81" s="109">
        <v>0.4</v>
      </c>
      <c r="I81" s="104">
        <v>0.2</v>
      </c>
      <c r="J81" s="111" t="s">
        <v>148</v>
      </c>
    </row>
    <row r="82" spans="2:10" x14ac:dyDescent="0.4">
      <c r="B82" s="104" t="s">
        <v>472</v>
      </c>
      <c r="C82" s="105" t="s">
        <v>463</v>
      </c>
      <c r="D82" s="105" t="s">
        <v>461</v>
      </c>
      <c r="E82" s="107" t="s">
        <v>466</v>
      </c>
      <c r="F82" s="115" t="s">
        <v>63</v>
      </c>
      <c r="G82" s="114"/>
      <c r="H82" s="109" t="s">
        <v>404</v>
      </c>
      <c r="I82" s="104">
        <v>0.3</v>
      </c>
      <c r="J82" s="111" t="s">
        <v>248</v>
      </c>
    </row>
    <row r="83" spans="2:10" x14ac:dyDescent="0.4">
      <c r="B83" s="104" t="s">
        <v>472</v>
      </c>
      <c r="C83" s="105" t="s">
        <v>463</v>
      </c>
      <c r="D83" s="105" t="s">
        <v>459</v>
      </c>
      <c r="E83" s="107" t="s">
        <v>466</v>
      </c>
      <c r="F83" s="115" t="s">
        <v>63</v>
      </c>
      <c r="G83" s="114"/>
      <c r="H83" s="109" t="s">
        <v>404</v>
      </c>
      <c r="I83" s="104">
        <v>1.7</v>
      </c>
      <c r="J83" s="111" t="s">
        <v>250</v>
      </c>
    </row>
    <row r="84" spans="2:10" x14ac:dyDescent="0.4">
      <c r="B84" s="104" t="s">
        <v>420</v>
      </c>
      <c r="C84" s="105" t="s">
        <v>413</v>
      </c>
      <c r="D84" s="105" t="s">
        <v>421</v>
      </c>
      <c r="E84" s="107" t="s">
        <v>422</v>
      </c>
      <c r="F84" s="108" t="s">
        <v>63</v>
      </c>
      <c r="G84" s="103"/>
      <c r="H84" s="109">
        <v>0.75</v>
      </c>
      <c r="I84" s="104">
        <v>0.75</v>
      </c>
      <c r="J84" s="111" t="s">
        <v>264</v>
      </c>
    </row>
    <row r="85" spans="2:10" x14ac:dyDescent="0.4">
      <c r="B85" s="104" t="s">
        <v>504</v>
      </c>
      <c r="C85" s="105" t="s">
        <v>499</v>
      </c>
      <c r="D85" s="106" t="s">
        <v>155</v>
      </c>
      <c r="E85" s="107" t="s">
        <v>505</v>
      </c>
      <c r="F85" s="108" t="s">
        <v>63</v>
      </c>
      <c r="G85" s="114"/>
      <c r="H85" s="109" t="s">
        <v>404</v>
      </c>
      <c r="I85" s="104">
        <v>0</v>
      </c>
      <c r="J85" s="107" t="s">
        <v>154</v>
      </c>
    </row>
    <row r="86" spans="2:10" x14ac:dyDescent="0.4">
      <c r="B86" s="104" t="s">
        <v>504</v>
      </c>
      <c r="C86" s="105" t="s">
        <v>499</v>
      </c>
      <c r="D86" s="105" t="s">
        <v>507</v>
      </c>
      <c r="E86" s="107" t="s">
        <v>505</v>
      </c>
      <c r="F86" s="115" t="s">
        <v>63</v>
      </c>
      <c r="G86" s="114"/>
      <c r="H86" s="109" t="s">
        <v>404</v>
      </c>
      <c r="I86" s="104">
        <v>0</v>
      </c>
      <c r="J86" s="111" t="s">
        <v>154</v>
      </c>
    </row>
    <row r="87" spans="2:10" x14ac:dyDescent="0.4">
      <c r="B87" s="104" t="s">
        <v>504</v>
      </c>
      <c r="C87" s="105" t="s">
        <v>499</v>
      </c>
      <c r="D87" s="105" t="s">
        <v>508</v>
      </c>
      <c r="E87" s="107" t="s">
        <v>505</v>
      </c>
      <c r="F87" s="115" t="s">
        <v>63</v>
      </c>
      <c r="G87" s="114"/>
      <c r="H87" s="109" t="s">
        <v>404</v>
      </c>
      <c r="I87" s="104">
        <v>0.25</v>
      </c>
      <c r="J87" s="111" t="s">
        <v>209</v>
      </c>
    </row>
    <row r="88" spans="2:10" x14ac:dyDescent="0.4">
      <c r="B88" s="104" t="s">
        <v>504</v>
      </c>
      <c r="C88" s="105" t="s">
        <v>499</v>
      </c>
      <c r="D88" s="105" t="s">
        <v>509</v>
      </c>
      <c r="E88" s="107" t="s">
        <v>505</v>
      </c>
      <c r="F88" s="115" t="s">
        <v>63</v>
      </c>
      <c r="G88" s="114"/>
      <c r="H88" s="109" t="s">
        <v>404</v>
      </c>
      <c r="I88" s="104">
        <v>-0.4</v>
      </c>
      <c r="J88" s="111" t="s">
        <v>211</v>
      </c>
    </row>
    <row r="89" spans="2:10" x14ac:dyDescent="0.4">
      <c r="B89" s="118" t="s">
        <v>435</v>
      </c>
      <c r="C89" s="119" t="s">
        <v>425</v>
      </c>
      <c r="D89" s="80" t="s">
        <v>436</v>
      </c>
      <c r="E89" s="79" t="s">
        <v>437</v>
      </c>
      <c r="F89" s="91" t="s">
        <v>63</v>
      </c>
      <c r="G89" s="120"/>
      <c r="H89" s="122" t="s">
        <v>404</v>
      </c>
      <c r="I89" s="118">
        <v>-0.1</v>
      </c>
      <c r="J89" s="79" t="s">
        <v>216</v>
      </c>
    </row>
    <row r="90" spans="2:10" x14ac:dyDescent="0.4">
      <c r="B90" s="104" t="s">
        <v>435</v>
      </c>
      <c r="C90" s="105" t="s">
        <v>425</v>
      </c>
      <c r="D90" s="105" t="s">
        <v>443</v>
      </c>
      <c r="E90" s="107" t="s">
        <v>437</v>
      </c>
      <c r="F90" s="115" t="s">
        <v>63</v>
      </c>
      <c r="G90" s="114"/>
      <c r="H90" s="109" t="s">
        <v>404</v>
      </c>
      <c r="I90" s="104">
        <v>-0.1</v>
      </c>
      <c r="J90" s="111" t="s">
        <v>216</v>
      </c>
    </row>
    <row r="91" spans="2:10" x14ac:dyDescent="0.4">
      <c r="B91" s="104" t="s">
        <v>435</v>
      </c>
      <c r="C91" s="105" t="s">
        <v>425</v>
      </c>
      <c r="D91" s="105" t="s">
        <v>444</v>
      </c>
      <c r="E91" s="107" t="s">
        <v>437</v>
      </c>
      <c r="F91" s="115" t="s">
        <v>63</v>
      </c>
      <c r="G91" s="114"/>
      <c r="H91" s="109" t="s">
        <v>404</v>
      </c>
      <c r="I91" s="104">
        <v>0</v>
      </c>
      <c r="J91" s="111" t="s">
        <v>217</v>
      </c>
    </row>
    <row r="92" spans="2:10" x14ac:dyDescent="0.4">
      <c r="B92" s="104" t="s">
        <v>398</v>
      </c>
      <c r="C92" s="105" t="s">
        <v>390</v>
      </c>
      <c r="D92" s="106" t="s">
        <v>157</v>
      </c>
      <c r="E92" s="107" t="s">
        <v>399</v>
      </c>
      <c r="F92" s="108" t="s">
        <v>63</v>
      </c>
      <c r="G92" s="103"/>
      <c r="H92" s="109">
        <v>1.25</v>
      </c>
      <c r="I92" s="104">
        <v>1.25</v>
      </c>
      <c r="J92" s="107" t="s">
        <v>156</v>
      </c>
    </row>
    <row r="93" spans="2:10" x14ac:dyDescent="0.4">
      <c r="B93" s="104" t="s">
        <v>487</v>
      </c>
      <c r="C93" s="105" t="s">
        <v>479</v>
      </c>
      <c r="D93" s="105" t="s">
        <v>461</v>
      </c>
      <c r="E93" s="107" t="s">
        <v>466</v>
      </c>
      <c r="F93" s="115" t="s">
        <v>63</v>
      </c>
      <c r="G93" s="114"/>
      <c r="H93" s="109" t="s">
        <v>404</v>
      </c>
      <c r="I93" s="104">
        <v>0.5</v>
      </c>
      <c r="J93" s="111" t="s">
        <v>237</v>
      </c>
    </row>
    <row r="94" spans="2:10" x14ac:dyDescent="0.4">
      <c r="B94" s="104" t="s">
        <v>487</v>
      </c>
      <c r="C94" s="105" t="s">
        <v>479</v>
      </c>
      <c r="D94" s="105" t="s">
        <v>459</v>
      </c>
      <c r="E94" s="107" t="s">
        <v>466</v>
      </c>
      <c r="F94" s="115" t="s">
        <v>65</v>
      </c>
      <c r="G94" s="114"/>
      <c r="H94" s="109" t="s">
        <v>404</v>
      </c>
      <c r="I94" s="104">
        <v>2.5</v>
      </c>
      <c r="J94" s="111" t="s">
        <v>239</v>
      </c>
    </row>
    <row r="95" spans="2:10" x14ac:dyDescent="0.4">
      <c r="B95" s="104" t="s">
        <v>478</v>
      </c>
      <c r="C95" s="105" t="s">
        <v>479</v>
      </c>
      <c r="D95" s="105" t="s">
        <v>468</v>
      </c>
      <c r="E95" s="107" t="s">
        <v>460</v>
      </c>
      <c r="F95" s="115" t="s">
        <v>63</v>
      </c>
      <c r="G95" s="114"/>
      <c r="H95" s="109" t="s">
        <v>404</v>
      </c>
      <c r="I95" s="104">
        <v>0</v>
      </c>
      <c r="J95" s="113" t="s">
        <v>174</v>
      </c>
    </row>
    <row r="96" spans="2:10" x14ac:dyDescent="0.4">
      <c r="B96" s="104" t="s">
        <v>478</v>
      </c>
      <c r="C96" s="105" t="s">
        <v>479</v>
      </c>
      <c r="D96" s="105" t="s">
        <v>457</v>
      </c>
      <c r="E96" s="107" t="s">
        <v>460</v>
      </c>
      <c r="F96" s="115" t="s">
        <v>65</v>
      </c>
      <c r="G96" s="114"/>
      <c r="H96" s="109" t="s">
        <v>404</v>
      </c>
      <c r="I96" s="104">
        <v>1.7</v>
      </c>
      <c r="J96" s="113" t="s">
        <v>203</v>
      </c>
    </row>
    <row r="97" spans="2:10" x14ac:dyDescent="0.4">
      <c r="B97" s="104" t="s">
        <v>458</v>
      </c>
      <c r="C97" s="105" t="s">
        <v>448</v>
      </c>
      <c r="D97" s="105" t="s">
        <v>459</v>
      </c>
      <c r="E97" s="107" t="s">
        <v>460</v>
      </c>
      <c r="F97" s="115" t="s">
        <v>63</v>
      </c>
      <c r="G97" s="114"/>
      <c r="H97" s="109" t="s">
        <v>404</v>
      </c>
      <c r="I97" s="104">
        <v>6.9</v>
      </c>
      <c r="J97" s="111" t="s">
        <v>227</v>
      </c>
    </row>
    <row r="98" spans="2:10" x14ac:dyDescent="0.4">
      <c r="B98" s="104" t="s">
        <v>458</v>
      </c>
      <c r="C98" s="105" t="s">
        <v>448</v>
      </c>
      <c r="D98" s="105" t="s">
        <v>461</v>
      </c>
      <c r="E98" s="107" t="s">
        <v>460</v>
      </c>
      <c r="F98" s="115" t="s">
        <v>68</v>
      </c>
      <c r="G98" s="114"/>
      <c r="H98" s="109" t="s">
        <v>404</v>
      </c>
      <c r="I98" s="104">
        <v>1.7</v>
      </c>
      <c r="J98" s="111" t="s">
        <v>229</v>
      </c>
    </row>
    <row r="99" spans="2:10" x14ac:dyDescent="0.4">
      <c r="B99" s="104" t="s">
        <v>467</v>
      </c>
      <c r="C99" s="105" t="s">
        <v>463</v>
      </c>
      <c r="D99" s="105" t="s">
        <v>468</v>
      </c>
      <c r="E99" s="107" t="s">
        <v>460</v>
      </c>
      <c r="F99" s="108" t="s">
        <v>63</v>
      </c>
      <c r="G99" s="114"/>
      <c r="H99" s="109" t="s">
        <v>404</v>
      </c>
      <c r="I99" s="104">
        <v>0.2</v>
      </c>
      <c r="J99" s="111" t="s">
        <v>241</v>
      </c>
    </row>
    <row r="100" spans="2:10" x14ac:dyDescent="0.4">
      <c r="B100" s="104" t="s">
        <v>467</v>
      </c>
      <c r="C100" s="105" t="s">
        <v>463</v>
      </c>
      <c r="D100" s="105" t="s">
        <v>457</v>
      </c>
      <c r="E100" s="107" t="s">
        <v>460</v>
      </c>
      <c r="F100" s="108" t="s">
        <v>63</v>
      </c>
      <c r="G100" s="114"/>
      <c r="H100" s="109" t="s">
        <v>404</v>
      </c>
      <c r="I100" s="104">
        <v>1.9</v>
      </c>
      <c r="J100" s="111" t="s">
        <v>243</v>
      </c>
    </row>
    <row r="101" spans="2:10" x14ac:dyDescent="0.4">
      <c r="B101" s="104" t="s">
        <v>464</v>
      </c>
      <c r="C101" s="105" t="s">
        <v>463</v>
      </c>
      <c r="D101" s="105" t="s">
        <v>465</v>
      </c>
      <c r="E101" s="107" t="s">
        <v>466</v>
      </c>
      <c r="F101" s="108" t="s">
        <v>65</v>
      </c>
      <c r="G101" s="114"/>
      <c r="H101" s="109" t="s">
        <v>404</v>
      </c>
      <c r="I101" s="104">
        <v>0.5</v>
      </c>
      <c r="J101" s="111" t="s">
        <v>316</v>
      </c>
    </row>
    <row r="102" spans="2:10" x14ac:dyDescent="0.4">
      <c r="B102" s="104" t="s">
        <v>464</v>
      </c>
      <c r="C102" s="105" t="s">
        <v>463</v>
      </c>
      <c r="D102" s="105" t="s">
        <v>456</v>
      </c>
      <c r="E102" s="107" t="s">
        <v>466</v>
      </c>
      <c r="F102" s="108" t="s">
        <v>65</v>
      </c>
      <c r="G102" s="114"/>
      <c r="H102" s="109" t="s">
        <v>404</v>
      </c>
      <c r="I102" s="104">
        <v>1.7</v>
      </c>
      <c r="J102" s="111" t="s">
        <v>317</v>
      </c>
    </row>
    <row r="103" spans="2:10" x14ac:dyDescent="0.4">
      <c r="I103" s="103"/>
      <c r="J103" s="111"/>
    </row>
  </sheetData>
  <sortState ref="B5:J102">
    <sortCondition ref="B5:B102" customList="Jan,Feb,Mar,Apr,May,Jun,Jul,Aug,Sep,Oct,Nov,Dec"/>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FFC000"/>
  </sheetPr>
  <dimension ref="B1:O103"/>
  <sheetViews>
    <sheetView zoomScale="70" zoomScaleNormal="70" workbookViewId="0">
      <selection activeCell="E27" sqref="E27"/>
    </sheetView>
  </sheetViews>
  <sheetFormatPr defaultColWidth="8.7265625" defaultRowHeight="17" x14ac:dyDescent="0.4"/>
  <cols>
    <col min="1" max="1" width="8.7265625" style="92"/>
    <col min="2" max="2" width="24" style="92" bestFit="1" customWidth="1"/>
    <col min="3" max="3" width="10" style="93" customWidth="1"/>
    <col min="4" max="4" width="45.90625" style="93" bestFit="1" customWidth="1"/>
    <col min="5" max="5" width="26.26953125" style="92" bestFit="1" customWidth="1"/>
    <col min="6" max="6" width="8.453125" style="92" bestFit="1" customWidth="1"/>
    <col min="7" max="7" width="8.453125" style="92" customWidth="1"/>
    <col min="8" max="8" width="18" style="92" bestFit="1" customWidth="1"/>
    <col min="9" max="9" width="21.7265625" style="92" bestFit="1" customWidth="1"/>
    <col min="10" max="10" width="22.08984375" style="93" bestFit="1" customWidth="1"/>
    <col min="11" max="16384" width="8.7265625" style="92"/>
  </cols>
  <sheetData>
    <row r="1" spans="2:15" ht="17.5" thickBot="1" x14ac:dyDescent="0.45"/>
    <row r="2" spans="2:15" x14ac:dyDescent="0.4">
      <c r="B2" s="94" t="s">
        <v>280</v>
      </c>
      <c r="C2" s="95"/>
      <c r="D2" s="96">
        <f ca="1">TODAY()</f>
        <v>42977</v>
      </c>
      <c r="E2" s="97">
        <f ca="1">WEEKDAY(D2,1)</f>
        <v>4</v>
      </c>
      <c r="F2" s="98"/>
      <c r="G2" s="98"/>
      <c r="H2" s="98"/>
      <c r="I2" s="98"/>
      <c r="J2" s="95"/>
    </row>
    <row r="3" spans="2:15" x14ac:dyDescent="0.4">
      <c r="B3" s="99"/>
      <c r="C3" s="100"/>
      <c r="D3" s="100"/>
      <c r="E3" s="99"/>
      <c r="F3" s="99"/>
      <c r="G3" s="99"/>
      <c r="H3" s="99"/>
      <c r="I3" s="99"/>
      <c r="J3" s="100"/>
    </row>
    <row r="4" spans="2:15" x14ac:dyDescent="0.4">
      <c r="B4" s="101" t="s">
        <v>268</v>
      </c>
      <c r="C4" s="102" t="s">
        <v>193</v>
      </c>
      <c r="D4" s="102" t="s">
        <v>194</v>
      </c>
      <c r="E4" s="101" t="s">
        <v>304</v>
      </c>
      <c r="F4" s="101" t="s">
        <v>269</v>
      </c>
      <c r="G4" s="117" t="s">
        <v>324</v>
      </c>
      <c r="H4" s="101" t="s">
        <v>302</v>
      </c>
      <c r="I4" s="101" t="s">
        <v>303</v>
      </c>
      <c r="J4" s="102" t="s">
        <v>195</v>
      </c>
      <c r="N4" s="103" t="s">
        <v>172</v>
      </c>
    </row>
    <row r="5" spans="2:15" x14ac:dyDescent="0.4">
      <c r="B5" s="104" t="e">
        <f ca="1">_xll.BDP(J5,"ECO_FUTURE_RELEASE_DATE")</f>
        <v>#NAME?</v>
      </c>
      <c r="C5" s="105" t="s">
        <v>184</v>
      </c>
      <c r="D5" s="106" t="s">
        <v>67</v>
      </c>
      <c r="E5" s="107" t="e">
        <f ca="1">_xll.BDP(J5,"OBSERVATION_PERIOD")</f>
        <v>#NAME?</v>
      </c>
      <c r="F5" s="108" t="s">
        <v>305</v>
      </c>
      <c r="G5" s="103"/>
      <c r="H5" s="109" t="str">
        <f ca="1">IF(ISNUMBER(_xll.BDP($J5,"BN_SURVEY_MEDIAN")),_xll.BDP($J5,"BN_SURVEY_MEDIAN"),"-")</f>
        <v>-</v>
      </c>
      <c r="I5" s="104" t="e">
        <f ca="1">_xll.BDP(J5,$N$4)</f>
        <v>#NAME?</v>
      </c>
      <c r="J5" s="107" t="s">
        <v>66</v>
      </c>
    </row>
    <row r="6" spans="2:15" x14ac:dyDescent="0.4">
      <c r="B6" s="110" t="e">
        <f ca="1">_xll.BDP(J6,"ECO_FUTURE_RELEASE_DATE")</f>
        <v>#NAME?</v>
      </c>
      <c r="C6" s="105" t="s">
        <v>184</v>
      </c>
      <c r="D6" s="106" t="s">
        <v>71</v>
      </c>
      <c r="E6" s="107" t="e">
        <f ca="1">_xll.BDP(J6,"OBSERVATION_PERIOD")</f>
        <v>#NAME?</v>
      </c>
      <c r="F6" s="108" t="s">
        <v>305</v>
      </c>
      <c r="G6" s="103"/>
      <c r="H6" s="109" t="str">
        <f ca="1">IF(ISNUMBER(_xll.BDP($J6,"BN_SURVEY_MEDIAN")),_xll.BDP($J6,"BN_SURVEY_MEDIAN"),"-")</f>
        <v>-</v>
      </c>
      <c r="I6" s="104" t="e">
        <f ca="1">_xll.BDP(J6,$N$4)</f>
        <v>#NAME?</v>
      </c>
      <c r="J6" s="107" t="s">
        <v>70</v>
      </c>
      <c r="N6" s="92" t="s">
        <v>326</v>
      </c>
      <c r="O6" s="92" t="s">
        <v>327</v>
      </c>
    </row>
    <row r="7" spans="2:15" x14ac:dyDescent="0.4">
      <c r="B7" s="104" t="e">
        <f ca="1">_xll.BDP(J7,"ECO_FUTURE_RELEASE_DATE")</f>
        <v>#NAME?</v>
      </c>
      <c r="C7" s="105" t="s">
        <v>184</v>
      </c>
      <c r="D7" s="106" t="s">
        <v>73</v>
      </c>
      <c r="E7" s="107" t="e">
        <f ca="1">_xll.BDP(J7,"OBSERVATION_PERIOD")</f>
        <v>#NAME?</v>
      </c>
      <c r="F7" s="108" t="s">
        <v>305</v>
      </c>
      <c r="G7" s="103"/>
      <c r="H7" s="109" t="str">
        <f ca="1">IF(ISNUMBER(_xll.BDP($J7,"BN_SURVEY_MEDIAN")),_xll.BDP($J7,"BN_SURVEY_MEDIAN"),"-")</f>
        <v>-</v>
      </c>
      <c r="I7" s="104" t="e">
        <f ca="1">_xll.BDP(J7,$N$4)</f>
        <v>#NAME?</v>
      </c>
      <c r="J7" s="107" t="s">
        <v>72</v>
      </c>
    </row>
    <row r="8" spans="2:15" x14ac:dyDescent="0.4">
      <c r="B8" s="104" t="e">
        <f ca="1">_xll.BDP(J8,"ECO_FUTURE_RELEASE_DATE")</f>
        <v>#NAME?</v>
      </c>
      <c r="C8" s="105" t="s">
        <v>184</v>
      </c>
      <c r="D8" s="106" t="s">
        <v>74</v>
      </c>
      <c r="E8" s="107" t="e">
        <f ca="1">_xll.BDP(J8,"OBSERVATION_PERIOD")</f>
        <v>#NAME?</v>
      </c>
      <c r="F8" s="108" t="s">
        <v>305</v>
      </c>
      <c r="G8" s="103"/>
      <c r="H8" s="109" t="str">
        <f ca="1">IF(ISNUMBER(_xll.BDP($J8,"BN_SURVEY_MEDIAN")),_xll.BDP($J8,"BN_SURVEY_MEDIAN"),"-")</f>
        <v>-</v>
      </c>
      <c r="I8" s="104" t="e">
        <f ca="1">_xll.BDP(J8,$N$4)</f>
        <v>#NAME?</v>
      </c>
      <c r="J8" s="107" t="s">
        <v>325</v>
      </c>
    </row>
    <row r="9" spans="2:15" x14ac:dyDescent="0.4">
      <c r="B9" s="104" t="e">
        <f ca="1">_xll.BDP(J9,"ECO_FUTURE_RELEASE_DATE")</f>
        <v>#NAME?</v>
      </c>
      <c r="C9" s="105" t="s">
        <v>184</v>
      </c>
      <c r="D9" s="106" t="s">
        <v>77</v>
      </c>
      <c r="E9" s="107" t="e">
        <f ca="1">_xll.BDP(J9,"OBSERVATION_PERIOD")</f>
        <v>#NAME?</v>
      </c>
      <c r="F9" s="108" t="s">
        <v>305</v>
      </c>
      <c r="G9" s="103"/>
      <c r="H9" s="109" t="str">
        <f ca="1">IF(ISNUMBER(_xll.BDP($J9,"BN_SURVEY_MEDIAN")),_xll.BDP($J9,"BN_SURVEY_MEDIAN"),"-")</f>
        <v>-</v>
      </c>
      <c r="I9" s="104" t="e">
        <f ca="1">_xll.BDP(J9,$N$4)</f>
        <v>#NAME?</v>
      </c>
      <c r="J9" s="107" t="s">
        <v>76</v>
      </c>
    </row>
    <row r="10" spans="2:15" x14ac:dyDescent="0.4">
      <c r="B10" s="104" t="e">
        <f ca="1">_xll.BDP(J10,"ECO_FUTURE_RELEASE_DATE")</f>
        <v>#NAME?</v>
      </c>
      <c r="C10" s="105" t="s">
        <v>184</v>
      </c>
      <c r="D10" s="106" t="s">
        <v>153</v>
      </c>
      <c r="E10" s="107" t="e">
        <f ca="1">_xll.BDP(J10,"OBSERVATION_PERIOD")</f>
        <v>#NAME?</v>
      </c>
      <c r="F10" s="108" t="s">
        <v>305</v>
      </c>
      <c r="G10" s="103"/>
      <c r="H10" s="109" t="str">
        <f ca="1">IF(ISNUMBER(_xll.BDP($J10,"BN_SURVEY_MEDIAN")),_xll.BDP($J10,"BN_SURVEY_MEDIAN"),"-")</f>
        <v>-</v>
      </c>
      <c r="I10" s="104" t="e">
        <f ca="1">_xll.BDP(J10,$N$4)</f>
        <v>#NAME?</v>
      </c>
      <c r="J10" s="107" t="s">
        <v>152</v>
      </c>
    </row>
    <row r="11" spans="2:15" x14ac:dyDescent="0.4">
      <c r="B11" s="104" t="e">
        <f ca="1">_xll.BDP(J11,"ECO_FUTURE_RELEASE_DATE")</f>
        <v>#NAME?</v>
      </c>
      <c r="C11" s="105" t="s">
        <v>184</v>
      </c>
      <c r="D11" s="106" t="s">
        <v>157</v>
      </c>
      <c r="E11" s="107" t="e">
        <f ca="1">_xll.BDP(J11,"OBSERVATION_PERIOD")</f>
        <v>#NAME?</v>
      </c>
      <c r="F11" s="108" t="s">
        <v>305</v>
      </c>
      <c r="G11" s="103"/>
      <c r="H11" s="109" t="str">
        <f ca="1">IF(ISNUMBER(_xll.BDP($J11,"BN_SURVEY_MEDIAN")),_xll.BDP($J11,"BN_SURVEY_MEDIAN"),"-")</f>
        <v>-</v>
      </c>
      <c r="I11" s="104" t="e">
        <f ca="1">_xll.BDP(J11,$N$4)</f>
        <v>#NAME?</v>
      </c>
      <c r="J11" s="107" t="s">
        <v>156</v>
      </c>
    </row>
    <row r="12" spans="2:15" x14ac:dyDescent="0.4">
      <c r="B12" s="104" t="e">
        <f ca="1">_xll.BDP(J12,"ECO_FUTURE_RELEASE_DATE")</f>
        <v>#NAME?</v>
      </c>
      <c r="C12" s="105" t="s">
        <v>184</v>
      </c>
      <c r="D12" s="106" t="s">
        <v>81</v>
      </c>
      <c r="E12" s="107" t="e">
        <f ca="1">_xll.BDP(J12,"OBSERVATION_PERIOD")</f>
        <v>#NAME?</v>
      </c>
      <c r="F12" s="108" t="s">
        <v>305</v>
      </c>
      <c r="G12" s="103"/>
      <c r="H12" s="109" t="str">
        <f ca="1">IF(ISNUMBER(_xll.BDP($J12,"BN_SURVEY_MEDIAN")),_xll.BDP($J12,"BN_SURVEY_MEDIAN"),"-")</f>
        <v>-</v>
      </c>
      <c r="I12" s="104" t="e">
        <f ca="1">_xll.BDP(J12,$N$4)</f>
        <v>#NAME?</v>
      </c>
      <c r="J12" s="107" t="s">
        <v>80</v>
      </c>
    </row>
    <row r="13" spans="2:15" x14ac:dyDescent="0.4">
      <c r="B13" s="104" t="e">
        <f ca="1">_xll.BDP(J13,"ECO_FUTURE_RELEASE_DATE")</f>
        <v>#NAME?</v>
      </c>
      <c r="C13" s="105" t="s">
        <v>184</v>
      </c>
      <c r="D13" s="106" t="s">
        <v>107</v>
      </c>
      <c r="E13" s="107" t="e">
        <f ca="1">_xll.BDP(J13,"OBSERVATION_PERIOD")</f>
        <v>#NAME?</v>
      </c>
      <c r="F13" s="108" t="s">
        <v>305</v>
      </c>
      <c r="G13" s="103"/>
      <c r="H13" s="109" t="str">
        <f ca="1">IF(ISNUMBER(_xll.BDP($J13,"BN_SURVEY_MEDIAN")),_xll.BDP($J13,"BN_SURVEY_MEDIAN"),"-")</f>
        <v>-</v>
      </c>
      <c r="I13" s="104" t="e">
        <f ca="1">_xll.BDP(J13,$N$4)</f>
        <v>#NAME?</v>
      </c>
      <c r="J13" s="107" t="s">
        <v>106</v>
      </c>
    </row>
    <row r="14" spans="2:15" x14ac:dyDescent="0.4">
      <c r="B14" s="104" t="e">
        <f ca="1">_xll.BDP(J14,"ECO_FUTURE_RELEASE_DATE")</f>
        <v>#NAME?</v>
      </c>
      <c r="C14" s="105" t="s">
        <v>184</v>
      </c>
      <c r="D14" s="106" t="s">
        <v>109</v>
      </c>
      <c r="E14" s="107" t="e">
        <f ca="1">_xll.BDP(J14,"OBSERVATION_PERIOD")</f>
        <v>#NAME?</v>
      </c>
      <c r="F14" s="108" t="s">
        <v>305</v>
      </c>
      <c r="G14" s="103"/>
      <c r="H14" s="109" t="str">
        <f ca="1">IF(ISNUMBER(_xll.BDP($J14,"BN_SURVEY_MEDIAN")),_xll.BDP($J14,"BN_SURVEY_MEDIAN"),"-")</f>
        <v>-</v>
      </c>
      <c r="I14" s="104" t="e">
        <f ca="1">_xll.BDP(J14,$N$4)</f>
        <v>#NAME?</v>
      </c>
      <c r="J14" s="107" t="s">
        <v>108</v>
      </c>
    </row>
    <row r="15" spans="2:15" x14ac:dyDescent="0.4">
      <c r="B15" s="104" t="e">
        <f ca="1">_xll.BDP(J15,"ECO_FUTURE_RELEASE_DATE")</f>
        <v>#NAME?</v>
      </c>
      <c r="C15" s="105" t="s">
        <v>184</v>
      </c>
      <c r="D15" s="106" t="s">
        <v>270</v>
      </c>
      <c r="E15" s="107" t="e">
        <f ca="1">_xll.BDP(J15,"OBSERVATION_PERIOD")</f>
        <v>#NAME?</v>
      </c>
      <c r="F15" s="108" t="s">
        <v>305</v>
      </c>
      <c r="G15" s="103"/>
      <c r="H15" s="109" t="str">
        <f ca="1">IF(ISNUMBER(_xll.BDP($J15,"BN_SURVEY_MEDIAN")),_xll.BDP($J15,"BN_SURVEY_MEDIAN"),"-")</f>
        <v>-</v>
      </c>
      <c r="I15" s="104" t="e">
        <f ca="1">_xll.BDP(J15,$N$4)</f>
        <v>#NAME?</v>
      </c>
      <c r="J15" s="107" t="s">
        <v>110</v>
      </c>
    </row>
    <row r="16" spans="2:15" x14ac:dyDescent="0.4">
      <c r="B16" s="104" t="e">
        <f ca="1">_xll.BDP(J16,"ECO_FUTURE_RELEASE_DATE")</f>
        <v>#NAME?</v>
      </c>
      <c r="C16" s="105" t="s">
        <v>184</v>
      </c>
      <c r="D16" s="106" t="s">
        <v>271</v>
      </c>
      <c r="E16" s="107" t="e">
        <f ca="1">_xll.BDP(J16,"OBSERVATION_PERIOD")</f>
        <v>#NAME?</v>
      </c>
      <c r="F16" s="108" t="s">
        <v>305</v>
      </c>
      <c r="G16" s="103"/>
      <c r="H16" s="109" t="str">
        <f ca="1">IF(ISNUMBER(_xll.BDP($J16,"BN_SURVEY_MEDIAN")),_xll.BDP($J16,"BN_SURVEY_MEDIAN"),"-")</f>
        <v>-</v>
      </c>
      <c r="I16" s="104" t="e">
        <f ca="1">_xll.BDP(J16,$N$4)</f>
        <v>#NAME?</v>
      </c>
      <c r="J16" s="107" t="s">
        <v>112</v>
      </c>
    </row>
    <row r="17" spans="2:10" x14ac:dyDescent="0.4">
      <c r="B17" s="104" t="e">
        <f ca="1">_xll.BDP(J17,"ECO_FUTURE_RELEASE_DATE")</f>
        <v>#NAME?</v>
      </c>
      <c r="C17" s="105" t="s">
        <v>184</v>
      </c>
      <c r="D17" s="106" t="s">
        <v>272</v>
      </c>
      <c r="E17" s="107" t="e">
        <f ca="1">_xll.BDP(J17,"OBSERVATION_PERIOD")</f>
        <v>#NAME?</v>
      </c>
      <c r="F17" s="108" t="s">
        <v>305</v>
      </c>
      <c r="G17" s="103"/>
      <c r="H17" s="109" t="str">
        <f ca="1">IF(ISNUMBER(_xll.BDP($J17,"BN_SURVEY_MEDIAN")),_xll.BDP($J17,"BN_SURVEY_MEDIAN"),"-")</f>
        <v>-</v>
      </c>
      <c r="I17" s="104" t="e">
        <f ca="1">_xll.BDP(J17,$N$4)</f>
        <v>#NAME?</v>
      </c>
      <c r="J17" s="107" t="s">
        <v>114</v>
      </c>
    </row>
    <row r="18" spans="2:10" x14ac:dyDescent="0.4">
      <c r="B18" s="104" t="e">
        <f ca="1">_xll.BDP(J18,"ECO_FUTURE_RELEASE_DATE")</f>
        <v>#NAME?</v>
      </c>
      <c r="C18" s="105" t="s">
        <v>184</v>
      </c>
      <c r="D18" s="106" t="s">
        <v>273</v>
      </c>
      <c r="E18" s="107" t="e">
        <f ca="1">_xll.BDP(J18,"OBSERVATION_PERIOD")</f>
        <v>#NAME?</v>
      </c>
      <c r="F18" s="108" t="s">
        <v>305</v>
      </c>
      <c r="G18" s="103"/>
      <c r="H18" s="109" t="str">
        <f ca="1">IF(ISNUMBER(_xll.BDP($J18,"BN_SURVEY_MEDIAN")),_xll.BDP($J18,"BN_SURVEY_MEDIAN"),"-")</f>
        <v>-</v>
      </c>
      <c r="I18" s="104" t="e">
        <f ca="1">_xll.BDP(J18,$N$4)</f>
        <v>#NAME?</v>
      </c>
      <c r="J18" s="107" t="s">
        <v>115</v>
      </c>
    </row>
    <row r="19" spans="2:10" x14ac:dyDescent="0.4">
      <c r="B19" s="104" t="e">
        <f ca="1">_xll.BDP(J19,"ECO_FUTURE_RELEASE_DATE")</f>
        <v>#NAME?</v>
      </c>
      <c r="C19" s="105" t="s">
        <v>184</v>
      </c>
      <c r="D19" s="106" t="s">
        <v>118</v>
      </c>
      <c r="E19" s="107" t="e">
        <f ca="1">_xll.BDP(J19,"OBSERVATION_PERIOD")</f>
        <v>#NAME?</v>
      </c>
      <c r="F19" s="108" t="s">
        <v>305</v>
      </c>
      <c r="G19" s="103"/>
      <c r="H19" s="109" t="str">
        <f ca="1">IF(ISNUMBER(_xll.BDP($J19,"BN_SURVEY_MEDIAN")),_xll.BDP($J19,"BN_SURVEY_MEDIAN"),"-")</f>
        <v>-</v>
      </c>
      <c r="I19" s="104" t="e">
        <f ca="1">_xll.BDP(J19,$N$4)</f>
        <v>#NAME?</v>
      </c>
      <c r="J19" s="107" t="s">
        <v>117</v>
      </c>
    </row>
    <row r="20" spans="2:10" x14ac:dyDescent="0.4">
      <c r="B20" s="104" t="e">
        <f ca="1">_xll.BDP(J20,"ECO_FUTURE_RELEASE_DATE")</f>
        <v>#NAME?</v>
      </c>
      <c r="C20" s="105" t="s">
        <v>184</v>
      </c>
      <c r="D20" s="106" t="s">
        <v>124</v>
      </c>
      <c r="E20" s="107" t="e">
        <f ca="1">_xll.BDP(J20,"OBSERVATION_PERIOD")</f>
        <v>#NAME?</v>
      </c>
      <c r="F20" s="108" t="s">
        <v>305</v>
      </c>
      <c r="G20" s="103"/>
      <c r="H20" s="109" t="str">
        <f ca="1">IF(ISNUMBER(_xll.BDP($J20,"BN_SURVEY_MEDIAN")),_xll.BDP($J20,"BN_SURVEY_MEDIAN"),"-")</f>
        <v>-</v>
      </c>
      <c r="I20" s="104" t="e">
        <f ca="1">_xll.BDP(J20,$N$4)</f>
        <v>#NAME?</v>
      </c>
      <c r="J20" s="107" t="s">
        <v>123</v>
      </c>
    </row>
    <row r="21" spans="2:10" x14ac:dyDescent="0.4">
      <c r="B21" s="104" t="e">
        <f ca="1">_xll.BDP(J21,"ECO_FUTURE_RELEASE_DATE")</f>
        <v>#NAME?</v>
      </c>
      <c r="C21" s="105" t="s">
        <v>184</v>
      </c>
      <c r="D21" s="106" t="s">
        <v>90</v>
      </c>
      <c r="E21" s="107" t="e">
        <f ca="1">_xll.BDP(J21,"OBSERVATION_PERIOD")</f>
        <v>#NAME?</v>
      </c>
      <c r="F21" s="108" t="s">
        <v>305</v>
      </c>
      <c r="G21" s="103"/>
      <c r="H21" s="109" t="str">
        <f ca="1">IF(ISNUMBER(_xll.BDP($J21,"BN_SURVEY_MEDIAN")),_xll.BDP($J21,"BN_SURVEY_MEDIAN"),"-")</f>
        <v>-</v>
      </c>
      <c r="I21" s="104" t="e">
        <f ca="1">_xll.BDP(J21,$N$4)</f>
        <v>#NAME?</v>
      </c>
      <c r="J21" s="107" t="s">
        <v>125</v>
      </c>
    </row>
    <row r="22" spans="2:10" x14ac:dyDescent="0.4">
      <c r="B22" s="104" t="e">
        <f ca="1">_xll.BDP(J22,"ECO_FUTURE_RELEASE_DATE")</f>
        <v>#NAME?</v>
      </c>
      <c r="C22" s="105" t="s">
        <v>184</v>
      </c>
      <c r="D22" s="105" t="s">
        <v>267</v>
      </c>
      <c r="E22" s="107" t="e">
        <f ca="1">_xll.BDP(J22,"OBSERVATION_PERIOD")</f>
        <v>#NAME?</v>
      </c>
      <c r="F22" s="108" t="s">
        <v>305</v>
      </c>
      <c r="G22" s="103"/>
      <c r="H22" s="109" t="str">
        <f ca="1">IF(ISNUMBER(_xll.BDP($J22,"BN_SURVEY_MEDIAN")),_xll.BDP($J22,"BN_SURVEY_MEDIAN"),"-")</f>
        <v>-</v>
      </c>
      <c r="I22" s="104" t="e">
        <f ca="1">_xll.BDP(J22,$N$4)</f>
        <v>#NAME?</v>
      </c>
      <c r="J22" s="111" t="s">
        <v>138</v>
      </c>
    </row>
    <row r="23" spans="2:10" x14ac:dyDescent="0.4">
      <c r="B23" s="104" t="e">
        <f ca="1">_xll.BDP(J23,"ECO_FUTURE_RELEASE_DATE")</f>
        <v>#NAME?</v>
      </c>
      <c r="C23" s="105" t="s">
        <v>185</v>
      </c>
      <c r="D23" s="105" t="s">
        <v>197</v>
      </c>
      <c r="E23" s="107" t="e">
        <f ca="1">_xll.BDP(J23,"OBSERVATION_PERIOD")</f>
        <v>#NAME?</v>
      </c>
      <c r="F23" s="108" t="s">
        <v>305</v>
      </c>
      <c r="G23" s="103"/>
      <c r="H23" s="109" t="str">
        <f ca="1">IF(ISNUMBER(_xll.BDP($J23,"BN_SURVEY_MEDIAN")),_xll.BDP($J23,"BN_SURVEY_MEDIAN"),"-")</f>
        <v>-</v>
      </c>
      <c r="I23" s="104" t="e">
        <f ca="1">_xll.BDP(J23,$N$4)</f>
        <v>#NAME?</v>
      </c>
      <c r="J23" s="112" t="s">
        <v>149</v>
      </c>
    </row>
    <row r="24" spans="2:10" x14ac:dyDescent="0.4">
      <c r="B24" s="104" t="e">
        <f ca="1">_xll.BDP(J24,"ECO_FUTURE_RELEASE_DATE")</f>
        <v>#NAME?</v>
      </c>
      <c r="C24" s="105" t="s">
        <v>185</v>
      </c>
      <c r="D24" s="105" t="s">
        <v>204</v>
      </c>
      <c r="E24" s="107" t="e">
        <f ca="1">_xll.BDP(J24,"OBSERVATION_PERIOD")</f>
        <v>#NAME?</v>
      </c>
      <c r="F24" s="108" t="s">
        <v>305</v>
      </c>
      <c r="G24" s="103"/>
      <c r="H24" s="109" t="str">
        <f ca="1">IF(ISNUMBER(_xll.BDP($J24,"BN_SURVEY_MEDIAN")),_xll.BDP($J24,"BN_SURVEY_MEDIAN"),"-")</f>
        <v>-</v>
      </c>
      <c r="I24" s="104" t="e">
        <f ca="1">_xll.BDP(J24,$N$4)</f>
        <v>#NAME?</v>
      </c>
      <c r="J24" s="112" t="s">
        <v>176</v>
      </c>
    </row>
    <row r="25" spans="2:10" x14ac:dyDescent="0.4">
      <c r="B25" s="104" t="e">
        <f ca="1">_xll.BDP(J25,"ECO_FUTURE_RELEASE_DATE")</f>
        <v>#NAME?</v>
      </c>
      <c r="C25" s="105" t="s">
        <v>185</v>
      </c>
      <c r="D25" s="106" t="s">
        <v>85</v>
      </c>
      <c r="E25" s="107" t="e">
        <f ca="1">_xll.BDP(J25,"OBSERVATION_PERIOD")</f>
        <v>#NAME?</v>
      </c>
      <c r="F25" s="108" t="s">
        <v>305</v>
      </c>
      <c r="G25" s="103"/>
      <c r="H25" s="109" t="str">
        <f ca="1">IF(ISNUMBER(_xll.BDP($J25,"BN_SURVEY_MEDIAN")),_xll.BDP($J25,"BN_SURVEY_MEDIAN"),"-")</f>
        <v>-</v>
      </c>
      <c r="I25" s="104" t="e">
        <f ca="1">_xll.BDP(J25,$N$4)</f>
        <v>#NAME?</v>
      </c>
      <c r="J25" s="107" t="s">
        <v>134</v>
      </c>
    </row>
    <row r="26" spans="2:10" x14ac:dyDescent="0.4">
      <c r="B26" s="104" t="e">
        <f ca="1">_xll.BDP(J26,"ECO_FUTURE_RELEASE_DATE")</f>
        <v>#NAME?</v>
      </c>
      <c r="C26" s="105" t="s">
        <v>185</v>
      </c>
      <c r="D26" s="106" t="s">
        <v>86</v>
      </c>
      <c r="E26" s="107" t="e">
        <f ca="1">_xll.BDP(J26,"OBSERVATION_PERIOD")</f>
        <v>#NAME?</v>
      </c>
      <c r="F26" s="108" t="s">
        <v>305</v>
      </c>
      <c r="G26" s="103"/>
      <c r="H26" s="109" t="str">
        <f ca="1">IF(ISNUMBER(_xll.BDP($J26,"BN_SURVEY_MEDIAN")),_xll.BDP($J26,"BN_SURVEY_MEDIAN"),"-")</f>
        <v>-</v>
      </c>
      <c r="I26" s="104" t="e">
        <f ca="1">_xll.BDP(J26,$N$4)</f>
        <v>#NAME?</v>
      </c>
      <c r="J26" s="107" t="s">
        <v>135</v>
      </c>
    </row>
    <row r="27" spans="2:10" x14ac:dyDescent="0.4">
      <c r="B27" s="104" t="e">
        <f ca="1">_xll.BDP(J27,"ECO_FUTURE_RELEASE_DATE")</f>
        <v>#NAME?</v>
      </c>
      <c r="C27" s="105" t="s">
        <v>185</v>
      </c>
      <c r="D27" s="106" t="s">
        <v>137</v>
      </c>
      <c r="E27" s="107" t="e">
        <f ca="1">_xll.BDP(J27,"OBSERVATION_PERIOD")</f>
        <v>#NAME?</v>
      </c>
      <c r="F27" s="108" t="s">
        <v>305</v>
      </c>
      <c r="G27" s="103"/>
      <c r="H27" s="109" t="str">
        <f ca="1">IF(ISNUMBER(_xll.BDP($J27,"BN_SURVEY_MEDIAN")),_xll.BDP($J27,"BN_SURVEY_MEDIAN"),"-")</f>
        <v>-</v>
      </c>
      <c r="I27" s="104" t="e">
        <f ca="1">_xll.BDP(J27,$N$4)</f>
        <v>#NAME?</v>
      </c>
      <c r="J27" s="107" t="s">
        <v>136</v>
      </c>
    </row>
    <row r="28" spans="2:10" x14ac:dyDescent="0.4">
      <c r="B28" s="104" t="e">
        <f ca="1">_xll.BDP(J28,"ECO_FUTURE_RELEASE_DATE")</f>
        <v>#NAME?</v>
      </c>
      <c r="C28" s="105" t="s">
        <v>185</v>
      </c>
      <c r="D28" s="106" t="s">
        <v>79</v>
      </c>
      <c r="E28" s="107" t="e">
        <f ca="1">_xll.BDP(J28,"OBSERVATION_PERIOD")</f>
        <v>#NAME?</v>
      </c>
      <c r="F28" s="108" t="s">
        <v>305</v>
      </c>
      <c r="G28" s="103"/>
      <c r="H28" s="109" t="str">
        <f ca="1">IF(ISNUMBER(_xll.BDP($J28,"BN_SURVEY_MEDIAN")),_xll.BDP($J28,"BN_SURVEY_MEDIAN"),"-")</f>
        <v>-</v>
      </c>
      <c r="I28" s="104" t="e">
        <f ca="1">_xll.BDP(J28,$N$4)</f>
        <v>#NAME?</v>
      </c>
      <c r="J28" s="107" t="s">
        <v>78</v>
      </c>
    </row>
    <row r="29" spans="2:10" x14ac:dyDescent="0.4">
      <c r="B29" s="104" t="e">
        <f ca="1">_xll.BDP(J29,"ECO_FUTURE_RELEASE_DATE")</f>
        <v>#NAME?</v>
      </c>
      <c r="C29" s="105" t="s">
        <v>185</v>
      </c>
      <c r="D29" s="106" t="s">
        <v>274</v>
      </c>
      <c r="E29" s="107" t="e">
        <f ca="1">_xll.BDP(J29,"OBSERVATION_PERIOD")</f>
        <v>#NAME?</v>
      </c>
      <c r="F29" s="108" t="s">
        <v>305</v>
      </c>
      <c r="G29" s="103"/>
      <c r="H29" s="109" t="str">
        <f ca="1">IF(ISNUMBER(_xll.BDP($J29,"BN_SURVEY_MEDIAN")),_xll.BDP($J29,"BN_SURVEY_MEDIAN"),"-")</f>
        <v>-</v>
      </c>
      <c r="I29" s="104" t="e">
        <f ca="1">_xll.BDP(J29,$N$4)</f>
        <v>#NAME?</v>
      </c>
      <c r="J29" s="107" t="s">
        <v>149</v>
      </c>
    </row>
    <row r="30" spans="2:10" x14ac:dyDescent="0.4">
      <c r="B30" s="104" t="e">
        <f ca="1">_xll.BDP(J30,"ECO_FUTURE_RELEASE_DATE")</f>
        <v>#NAME?</v>
      </c>
      <c r="C30" s="105" t="s">
        <v>185</v>
      </c>
      <c r="D30" s="106" t="s">
        <v>275</v>
      </c>
      <c r="E30" s="107" t="e">
        <f ca="1">_xll.BDP(J30,"OBSERVATION_PERIOD")</f>
        <v>#NAME?</v>
      </c>
      <c r="F30" s="108" t="s">
        <v>306</v>
      </c>
      <c r="G30" s="103"/>
      <c r="H30" s="109" t="str">
        <f ca="1">IF(ISNUMBER(_xll.BDP($J30,"BN_SURVEY_MEDIAN")),_xll.BDP($J30,"BN_SURVEY_MEDIAN"),"-")</f>
        <v>-</v>
      </c>
      <c r="I30" s="104" t="e">
        <f ca="1">_xll.BDP(J30,$N$4)</f>
        <v>#NAME?</v>
      </c>
      <c r="J30" s="107" t="s">
        <v>151</v>
      </c>
    </row>
    <row r="31" spans="2:10" x14ac:dyDescent="0.4">
      <c r="B31" s="104" t="e">
        <f ca="1">_xll.BDP(J31,"ECO_FUTURE_RELEASE_DATE")</f>
        <v>#NAME?</v>
      </c>
      <c r="C31" s="105" t="s">
        <v>185</v>
      </c>
      <c r="D31" s="105" t="s">
        <v>265</v>
      </c>
      <c r="E31" s="107" t="e">
        <f ca="1">_xll.BDP(J31,"OBSERVATION_PERIOD")</f>
        <v>#NAME?</v>
      </c>
      <c r="F31" s="108" t="s">
        <v>305</v>
      </c>
      <c r="G31" s="103"/>
      <c r="H31" s="109" t="str">
        <f ca="1">IF(ISNUMBER(_xll.BDP($J31,"BN_SURVEY_MEDIAN")),_xll.BDP($J31,"BN_SURVEY_MEDIAN"),"-")</f>
        <v>-</v>
      </c>
      <c r="I31" s="104" t="e">
        <f ca="1">_xll.BDP(J31,$N$4)</f>
        <v>#NAME?</v>
      </c>
      <c r="J31" s="111" t="s">
        <v>264</v>
      </c>
    </row>
    <row r="32" spans="2:10" x14ac:dyDescent="0.4">
      <c r="B32" s="104" t="e">
        <f ca="1">_xll.BDP(J32,"ECO_FUTURE_RELEASE_DATE")</f>
        <v>#NAME?</v>
      </c>
      <c r="C32" s="105" t="s">
        <v>185</v>
      </c>
      <c r="D32" s="105" t="s">
        <v>266</v>
      </c>
      <c r="E32" s="107" t="e">
        <f ca="1">_xll.BDP(J32,"OBSERVATION_PERIOD")</f>
        <v>#NAME?</v>
      </c>
      <c r="F32" s="108" t="s">
        <v>305</v>
      </c>
      <c r="G32" s="103"/>
      <c r="H32" s="109" t="str">
        <f ca="1">IF(ISNUMBER(_xll.BDP($J32,"BN_SURVEY_MEDIAN")),_xll.BDP($J32,"BN_SURVEY_MEDIAN"),"-")</f>
        <v>-</v>
      </c>
      <c r="I32" s="104" t="e">
        <f ca="1">_xll.BDP(J32,$N$4)</f>
        <v>#NAME?</v>
      </c>
      <c r="J32" s="111" t="s">
        <v>136</v>
      </c>
    </row>
    <row r="33" spans="2:10" x14ac:dyDescent="0.4">
      <c r="B33" s="104" t="e">
        <f ca="1">_xll.BDP(J33,"ECO_FUTURE_RELEASE_DATE")</f>
        <v>#NAME?</v>
      </c>
      <c r="C33" s="105" t="s">
        <v>186</v>
      </c>
      <c r="D33" s="106" t="s">
        <v>146</v>
      </c>
      <c r="E33" s="107" t="e">
        <f ca="1">_xll.BDP(J33,"OBSERVATION_PERIOD")</f>
        <v>#NAME?</v>
      </c>
      <c r="F33" s="108" t="s">
        <v>305</v>
      </c>
      <c r="G33" s="103"/>
      <c r="H33" s="109" t="str">
        <f ca="1">IF(ISNUMBER(_xll.BDP($J33,"BN_SURVEY_MEDIAN")),_xll.BDP($J33,"BN_SURVEY_MEDIAN"),"-")</f>
        <v>-</v>
      </c>
      <c r="I33" s="104" t="e">
        <f ca="1">_xll.BDP(J33,$N$4)</f>
        <v>#NAME?</v>
      </c>
      <c r="J33" s="107" t="s">
        <v>145</v>
      </c>
    </row>
    <row r="34" spans="2:10" x14ac:dyDescent="0.4">
      <c r="B34" s="104" t="e">
        <f ca="1">_xll.BDP(J34,"ECO_FUTURE_RELEASE_DATE")</f>
        <v>#NAME?</v>
      </c>
      <c r="C34" s="105" t="s">
        <v>186</v>
      </c>
      <c r="D34" s="105" t="s">
        <v>196</v>
      </c>
      <c r="E34" s="107" t="e">
        <f ca="1">_xll.BDP(J34,"OBSERVATION_PERIOD")</f>
        <v>#NAME?</v>
      </c>
      <c r="F34" s="108" t="s">
        <v>305</v>
      </c>
      <c r="G34" s="103"/>
      <c r="H34" s="109" t="str">
        <f ca="1">IF(ISNUMBER(_xll.BDP($J34,"BN_SURVEY_MEDIAN")),_xll.BDP($J34,"BN_SURVEY_MEDIAN"),"-")</f>
        <v>-</v>
      </c>
      <c r="I34" s="104" t="e">
        <f ca="1">_xll.BDP(J34,$N$4)</f>
        <v>#NAME?</v>
      </c>
      <c r="J34" s="113" t="s">
        <v>139</v>
      </c>
    </row>
    <row r="35" spans="2:10" x14ac:dyDescent="0.4">
      <c r="B35" s="104" t="e">
        <f ca="1">_xll.BDP(J35,"ECO_FUTURE_RELEASE_DATE")</f>
        <v>#NAME?</v>
      </c>
      <c r="C35" s="105" t="s">
        <v>186</v>
      </c>
      <c r="D35" s="106" t="s">
        <v>84</v>
      </c>
      <c r="E35" s="107" t="e">
        <f ca="1">_xll.BDP(J35,"OBSERVATION_PERIOD")</f>
        <v>#NAME?</v>
      </c>
      <c r="F35" s="108" t="s">
        <v>307</v>
      </c>
      <c r="G35" s="103"/>
      <c r="H35" s="109" t="str">
        <f ca="1">IF(ISNUMBER(_xll.BDP($J35,"BN_SURVEY_MEDIAN")),_xll.BDP($J35,"BN_SURVEY_MEDIAN"),"-")</f>
        <v>-</v>
      </c>
      <c r="I35" s="104" t="e">
        <f ca="1">_xll.BDP(J35,$N$4)</f>
        <v>#NAME?</v>
      </c>
      <c r="J35" s="107" t="s">
        <v>126</v>
      </c>
    </row>
    <row r="36" spans="2:10" x14ac:dyDescent="0.4">
      <c r="B36" s="104" t="e">
        <f ca="1">_xll.BDP(J36,"ECO_FUTURE_RELEASE_DATE")</f>
        <v>#NAME?</v>
      </c>
      <c r="C36" s="105" t="s">
        <v>186</v>
      </c>
      <c r="D36" s="106" t="s">
        <v>308</v>
      </c>
      <c r="E36" s="107" t="e">
        <f ca="1">_xll.BDP(J36,"OBSERVATION_PERIOD")</f>
        <v>#NAME?</v>
      </c>
      <c r="F36" s="108" t="s">
        <v>307</v>
      </c>
      <c r="G36" s="103"/>
      <c r="H36" s="109" t="str">
        <f ca="1">IF(ISNUMBER(_xll.BDP($J36,"BN_SURVEY_MEDIAN")),_xll.BDP($J36,"BN_SURVEY_MEDIAN"),"-")</f>
        <v>-</v>
      </c>
      <c r="I36" s="104" t="e">
        <f ca="1">_xll.BDP(J36,$N$4)</f>
        <v>#NAME?</v>
      </c>
      <c r="J36" s="107" t="s">
        <v>92</v>
      </c>
    </row>
    <row r="37" spans="2:10" x14ac:dyDescent="0.4">
      <c r="B37" s="104" t="e">
        <f ca="1">_xll.BDP(J37,"ECO_FUTURE_RELEASE_DATE")</f>
        <v>#NAME?</v>
      </c>
      <c r="C37" s="105" t="s">
        <v>186</v>
      </c>
      <c r="D37" s="106" t="s">
        <v>93</v>
      </c>
      <c r="E37" s="107" t="e">
        <f ca="1">_xll.BDP(J37,"OBSERVATION_PERIOD")</f>
        <v>#NAME?</v>
      </c>
      <c r="F37" s="108" t="s">
        <v>307</v>
      </c>
      <c r="G37" s="103"/>
      <c r="H37" s="109" t="str">
        <f ca="1">IF(ISNUMBER(_xll.BDP($J37,"BN_SURVEY_MEDIAN")),_xll.BDP($J37,"BN_SURVEY_MEDIAN"),"-")</f>
        <v>-</v>
      </c>
      <c r="I37" s="104" t="e">
        <f ca="1">_xll.BDP(J37,$N$4)</f>
        <v>#NAME?</v>
      </c>
      <c r="J37" s="107" t="s">
        <v>92</v>
      </c>
    </row>
    <row r="38" spans="2:10" x14ac:dyDescent="0.4">
      <c r="B38" s="104" t="e">
        <f ca="1">_xll.BDP(J38,"ECO_FUTURE_RELEASE_DATE")</f>
        <v>#NAME?</v>
      </c>
      <c r="C38" s="105" t="s">
        <v>186</v>
      </c>
      <c r="D38" s="106" t="s">
        <v>311</v>
      </c>
      <c r="E38" s="107" t="e">
        <f ca="1">_xll.BDP(J38,"OBSERVATION_PERIOD")</f>
        <v>#NAME?</v>
      </c>
      <c r="F38" s="108" t="s">
        <v>305</v>
      </c>
      <c r="G38" s="103"/>
      <c r="H38" s="109" t="str">
        <f ca="1">IF(ISNUMBER(_xll.BDP($J38,"BN_SURVEY_MEDIAN")),_xll.BDP($J38,"BN_SURVEY_MEDIAN"),"-")</f>
        <v>-</v>
      </c>
      <c r="I38" s="104" t="e">
        <f ca="1">_xll.BDP(J38,$N$4)</f>
        <v>#NAME?</v>
      </c>
      <c r="J38" s="107" t="s">
        <v>119</v>
      </c>
    </row>
    <row r="39" spans="2:10" s="121" customFormat="1" x14ac:dyDescent="0.4">
      <c r="B39" s="118" t="e">
        <f ca="1">_xll.BDP(J39,"ECO_FUTURE_RELEASE_DATE")</f>
        <v>#NAME?</v>
      </c>
      <c r="C39" s="119" t="s">
        <v>186</v>
      </c>
      <c r="D39" s="80" t="s">
        <v>198</v>
      </c>
      <c r="E39" s="79" t="e">
        <f ca="1">_xll.BDP(J39,"OBSERVATION_PERIOD")</f>
        <v>#NAME?</v>
      </c>
      <c r="F39" s="91" t="s">
        <v>305</v>
      </c>
      <c r="G39" s="120"/>
      <c r="H39" s="122" t="str">
        <f ca="1">IF(ISNUMBER(_xll.BDP($J39,"BN_SURVEY_MEDIAN")),_xll.BDP($J39,"BN_SURVEY_MEDIAN"),"-")</f>
        <v>-</v>
      </c>
      <c r="I39" s="118" t="e">
        <f ca="1">_xll.BDP(J39,$N$4)</f>
        <v>#NAME?</v>
      </c>
      <c r="J39" s="79" t="s">
        <v>216</v>
      </c>
    </row>
    <row r="40" spans="2:10" x14ac:dyDescent="0.4">
      <c r="B40" s="104" t="e">
        <f ca="1">_xll.BDP(J40,"ECO_FUTURE_RELEASE_DATE")</f>
        <v>#NAME?</v>
      </c>
      <c r="C40" s="105" t="s">
        <v>186</v>
      </c>
      <c r="D40" s="106" t="s">
        <v>310</v>
      </c>
      <c r="E40" s="107" t="e">
        <f ca="1">_xll.BDP(J40,"OBSERVATION_PERIOD")</f>
        <v>#NAME?</v>
      </c>
      <c r="F40" s="115" t="s">
        <v>307</v>
      </c>
      <c r="G40" s="114"/>
      <c r="H40" s="109" t="str">
        <f ca="1">IF(ISNUMBER(_xll.BDP($J40,"BN_SURVEY_MEDIAN")),_xll.BDP($J40,"BN_SURVEY_MEDIAN"),"-")</f>
        <v>-</v>
      </c>
      <c r="I40" s="104" t="e">
        <f ca="1">_xll.BDP(J40,$N$4)</f>
        <v>#NAME?</v>
      </c>
      <c r="J40" s="107" t="s">
        <v>147</v>
      </c>
    </row>
    <row r="41" spans="2:10" x14ac:dyDescent="0.4">
      <c r="B41" s="104" t="e">
        <f ca="1">_xll.BDP(J41,"ECO_FUTURE_RELEASE_DATE")</f>
        <v>#NAME?</v>
      </c>
      <c r="C41" s="105" t="s">
        <v>186</v>
      </c>
      <c r="D41" s="105" t="s">
        <v>219</v>
      </c>
      <c r="E41" s="107" t="e">
        <f ca="1">_xll.BDP(J41,"OBSERVATION_PERIOD")</f>
        <v>#NAME?</v>
      </c>
      <c r="F41" s="115" t="s">
        <v>307</v>
      </c>
      <c r="G41" s="114"/>
      <c r="H41" s="109" t="str">
        <f ca="1">IF(ISNUMBER(_xll.BDP($J41,"BN_SURVEY_MEDIAN")),_xll.BDP($J41,"BN_SURVEY_MEDIAN"),"-")</f>
        <v>-</v>
      </c>
      <c r="I41" s="104" t="e">
        <f ca="1">_xll.BDP(J41,$N$4)</f>
        <v>#NAME?</v>
      </c>
      <c r="J41" s="111" t="s">
        <v>140</v>
      </c>
    </row>
    <row r="42" spans="2:10" x14ac:dyDescent="0.4">
      <c r="B42" s="104" t="e">
        <f ca="1">_xll.BDP(J42,"ECO_FUTURE_RELEASE_DATE")</f>
        <v>#NAME?</v>
      </c>
      <c r="C42" s="105" t="s">
        <v>186</v>
      </c>
      <c r="D42" s="105" t="s">
        <v>220</v>
      </c>
      <c r="E42" s="107" t="e">
        <f ca="1">_xll.BDP(J42,"OBSERVATION_PERIOD")</f>
        <v>#NAME?</v>
      </c>
      <c r="F42" s="115" t="s">
        <v>305</v>
      </c>
      <c r="G42" s="114"/>
      <c r="H42" s="109" t="str">
        <f ca="1">IF(ISNUMBER(_xll.BDP($J42,"BN_SURVEY_MEDIAN")),_xll.BDP($J42,"BN_SURVEY_MEDIAN"),"-")</f>
        <v>-</v>
      </c>
      <c r="I42" s="104" t="e">
        <f ca="1">_xll.BDP(J42,$N$4)</f>
        <v>#NAME?</v>
      </c>
      <c r="J42" s="111" t="s">
        <v>141</v>
      </c>
    </row>
    <row r="43" spans="2:10" x14ac:dyDescent="0.4">
      <c r="B43" s="104" t="e">
        <f ca="1">_xll.BDP(J43,"ECO_FUTURE_RELEASE_DATE")</f>
        <v>#NAME?</v>
      </c>
      <c r="C43" s="105" t="s">
        <v>186</v>
      </c>
      <c r="D43" s="105" t="s">
        <v>309</v>
      </c>
      <c r="E43" s="107" t="e">
        <f ca="1">_xll.BDP(J43,"OBSERVATION_PERIOD")</f>
        <v>#NAME?</v>
      </c>
      <c r="F43" s="115" t="s">
        <v>307</v>
      </c>
      <c r="G43" s="114"/>
      <c r="H43" s="109" t="str">
        <f ca="1">IF(ISNUMBER(_xll.BDP($J43,"BN_SURVEY_MEDIAN")),_xll.BDP($J43,"BN_SURVEY_MEDIAN"),"-")</f>
        <v>-</v>
      </c>
      <c r="I43" s="104" t="e">
        <f ca="1">_xll.BDP(J43,$N$4)</f>
        <v>#NAME?</v>
      </c>
      <c r="J43" s="111" t="s">
        <v>148</v>
      </c>
    </row>
    <row r="44" spans="2:10" x14ac:dyDescent="0.4">
      <c r="B44" s="104" t="e">
        <f ca="1">_xll.BDP(J44,"ECO_FUTURE_RELEASE_DATE")</f>
        <v>#NAME?</v>
      </c>
      <c r="C44" s="105" t="s">
        <v>186</v>
      </c>
      <c r="D44" s="105" t="s">
        <v>222</v>
      </c>
      <c r="E44" s="107" t="e">
        <f ca="1">_xll.BDP(J44,"OBSERVATION_PERIOD")</f>
        <v>#NAME?</v>
      </c>
      <c r="F44" s="115" t="s">
        <v>305</v>
      </c>
      <c r="G44" s="114"/>
      <c r="H44" s="109" t="str">
        <f ca="1">IF(ISNUMBER(_xll.BDP($J44,"BN_SURVEY_MEDIAN")),_xll.BDP($J44,"BN_SURVEY_MEDIAN"),"-")</f>
        <v>-</v>
      </c>
      <c r="I44" s="104" t="e">
        <f ca="1">_xll.BDP(J44,$N$4)</f>
        <v>#NAME?</v>
      </c>
      <c r="J44" s="111" t="s">
        <v>216</v>
      </c>
    </row>
    <row r="45" spans="2:10" x14ac:dyDescent="0.4">
      <c r="B45" s="104" t="e">
        <f ca="1">_xll.BDP(J45,"ECO_FUTURE_RELEASE_DATE")</f>
        <v>#NAME?</v>
      </c>
      <c r="C45" s="105" t="s">
        <v>186</v>
      </c>
      <c r="D45" s="105" t="s">
        <v>223</v>
      </c>
      <c r="E45" s="107" t="e">
        <f ca="1">_xll.BDP(J45,"OBSERVATION_PERIOD")</f>
        <v>#NAME?</v>
      </c>
      <c r="F45" s="115" t="s">
        <v>305</v>
      </c>
      <c r="G45" s="114"/>
      <c r="H45" s="109" t="str">
        <f ca="1">IF(ISNUMBER(_xll.BDP($J45,"BN_SURVEY_MEDIAN")),_xll.BDP($J45,"BN_SURVEY_MEDIAN"),"-")</f>
        <v>-</v>
      </c>
      <c r="I45" s="104" t="e">
        <f ca="1">_xll.BDP(J45,$N$4)</f>
        <v>#NAME?</v>
      </c>
      <c r="J45" s="111" t="s">
        <v>217</v>
      </c>
    </row>
    <row r="46" spans="2:10" x14ac:dyDescent="0.4">
      <c r="B46" s="104" t="e">
        <f ca="1">_xll.BDP(J46,"ECO_FUTURE_RELEASE_DATE")</f>
        <v>#NAME?</v>
      </c>
      <c r="C46" s="105" t="s">
        <v>186</v>
      </c>
      <c r="D46" s="105" t="s">
        <v>224</v>
      </c>
      <c r="E46" s="107" t="e">
        <f ca="1">_xll.BDP(J46,"OBSERVATION_PERIOD")</f>
        <v>#NAME?</v>
      </c>
      <c r="F46" s="115" t="s">
        <v>305</v>
      </c>
      <c r="G46" s="114"/>
      <c r="H46" s="109" t="str">
        <f ca="1">IF(ISNUMBER(_xll.BDP($J46,"BN_SURVEY_MEDIAN")),_xll.BDP($J46,"BN_SURVEY_MEDIAN"),"-")</f>
        <v>-</v>
      </c>
      <c r="I46" s="104" t="e">
        <f ca="1">_xll.BDP(J46,$N$4)</f>
        <v>#NAME?</v>
      </c>
      <c r="J46" s="111" t="s">
        <v>218</v>
      </c>
    </row>
    <row r="47" spans="2:10" x14ac:dyDescent="0.4">
      <c r="B47" s="104" t="e">
        <f ca="1">_xll.BDP(J47,"ECO_FUTURE_RELEASE_DATE")</f>
        <v>#NAME?</v>
      </c>
      <c r="C47" s="105" t="s">
        <v>187</v>
      </c>
      <c r="D47" s="106" t="s">
        <v>62</v>
      </c>
      <c r="E47" s="107" t="e">
        <f ca="1">_xll.BDP(J47,"OBSERVATION_PERIOD")</f>
        <v>#NAME?</v>
      </c>
      <c r="F47" s="108" t="s">
        <v>305</v>
      </c>
      <c r="G47" s="114"/>
      <c r="H47" s="109" t="str">
        <f ca="1">IF(ISNUMBER(_xll.BDP($J47,"BN_SURVEY_MEDIAN")),_xll.BDP($J47,"BN_SURVEY_MEDIAN"),"-")</f>
        <v>-</v>
      </c>
      <c r="I47" s="104" t="e">
        <f ca="1">_xll.BDP(J47,$N$4)</f>
        <v>#NAME?</v>
      </c>
      <c r="J47" s="107" t="s">
        <v>61</v>
      </c>
    </row>
    <row r="48" spans="2:10" x14ac:dyDescent="0.4">
      <c r="B48" s="104" t="e">
        <f ca="1">_xll.BDP(J48,"ECO_FUTURE_RELEASE_DATE")</f>
        <v>#NAME?</v>
      </c>
      <c r="C48" s="105" t="s">
        <v>187</v>
      </c>
      <c r="D48" s="106" t="s">
        <v>276</v>
      </c>
      <c r="E48" s="107" t="e">
        <f ca="1">_xll.BDP(J48,"OBSERVATION_PERIOD")</f>
        <v>#NAME?</v>
      </c>
      <c r="F48" s="108" t="s">
        <v>305</v>
      </c>
      <c r="G48" s="114"/>
      <c r="H48" s="109" t="str">
        <f ca="1">IF(ISNUMBER(_xll.BDP($J48,"BN_SURVEY_MEDIAN")),_xll.BDP($J48,"BN_SURVEY_MEDIAN"),"-")</f>
        <v>-</v>
      </c>
      <c r="I48" s="104" t="e">
        <f ca="1">_xll.BDP(J48,$N$4)</f>
        <v>#NAME?</v>
      </c>
      <c r="J48" s="107" t="s">
        <v>64</v>
      </c>
    </row>
    <row r="49" spans="2:10" x14ac:dyDescent="0.4">
      <c r="B49" s="104" t="e">
        <f ca="1">_xll.BDP(J49,"ECO_FUTURE_RELEASE_DATE")</f>
        <v>#NAME?</v>
      </c>
      <c r="C49" s="105" t="s">
        <v>187</v>
      </c>
      <c r="D49" s="106" t="s">
        <v>200</v>
      </c>
      <c r="E49" s="107" t="e">
        <f ca="1">_xll.BDP(J49,"OBSERVATION_PERIOD")</f>
        <v>#NAME?</v>
      </c>
      <c r="F49" s="108" t="s">
        <v>307</v>
      </c>
      <c r="G49" s="114"/>
      <c r="H49" s="109" t="str">
        <f ca="1">IF(ISNUMBER(_xll.BDP($J49,"BN_SURVEY_MEDIAN")),_xll.BDP($J49,"BN_SURVEY_MEDIAN"),"-")</f>
        <v>-</v>
      </c>
      <c r="I49" s="104" t="e">
        <f ca="1">_xll.BDP(J49,$N$4)</f>
        <v>#NAME?</v>
      </c>
      <c r="J49" s="113" t="s">
        <v>83</v>
      </c>
    </row>
    <row r="50" spans="2:10" x14ac:dyDescent="0.4">
      <c r="B50" s="104" t="e">
        <f ca="1">_xll.BDP(J50,"ECO_FUTURE_RELEASE_DATE")</f>
        <v>#NAME?</v>
      </c>
      <c r="C50" s="105" t="s">
        <v>187</v>
      </c>
      <c r="D50" s="116" t="s">
        <v>312</v>
      </c>
      <c r="E50" s="107" t="e">
        <f ca="1">_xll.BDP(J50,"OBSERVATION_PERIOD")</f>
        <v>#NAME?</v>
      </c>
      <c r="F50" s="108" t="s">
        <v>313</v>
      </c>
      <c r="G50" s="114"/>
      <c r="H50" s="109" t="str">
        <f ca="1">IF(ISNUMBER(_xll.BDP($J50,"BN_SURVEY_MEDIAN")),_xll.BDP($J50,"BN_SURVEY_MEDIAN"),"-")</f>
        <v>-</v>
      </c>
      <c r="I50" s="104" t="e">
        <f ca="1">_xll.BDP(J50,$N$4)</f>
        <v>#NAME?</v>
      </c>
      <c r="J50" s="107" t="s">
        <v>82</v>
      </c>
    </row>
    <row r="51" spans="2:10" x14ac:dyDescent="0.4">
      <c r="B51" s="104" t="e">
        <f ca="1">_xll.BDP(J51,"ECO_FUTURE_RELEASE_DATE")</f>
        <v>#NAME?</v>
      </c>
      <c r="C51" s="105" t="s">
        <v>187</v>
      </c>
      <c r="D51" s="106" t="s">
        <v>96</v>
      </c>
      <c r="E51" s="107" t="e">
        <f ca="1">_xll.BDP(J51,"OBSERVATION_PERIOD")</f>
        <v>#NAME?</v>
      </c>
      <c r="F51" s="108" t="s">
        <v>305</v>
      </c>
      <c r="G51" s="114"/>
      <c r="H51" s="109" t="str">
        <f ca="1">IF(ISNUMBER(_xll.BDP($J51,"BN_SURVEY_MEDIAN")),_xll.BDP($J51,"BN_SURVEY_MEDIAN"),"-")</f>
        <v>-</v>
      </c>
      <c r="I51" s="104" t="e">
        <f ca="1">_xll.BDP(J51,$N$4)</f>
        <v>#NAME?</v>
      </c>
      <c r="J51" s="107" t="s">
        <v>95</v>
      </c>
    </row>
    <row r="52" spans="2:10" x14ac:dyDescent="0.4">
      <c r="B52" s="104" t="e">
        <f ca="1">_xll.BDP(J52,"ECO_FUTURE_RELEASE_DATE")</f>
        <v>#NAME?</v>
      </c>
      <c r="C52" s="105" t="s">
        <v>187</v>
      </c>
      <c r="D52" s="105" t="s">
        <v>314</v>
      </c>
      <c r="E52" s="107" t="e">
        <f ca="1">_xll.BDP(J52,"OBSERVATION_PERIOD")</f>
        <v>#NAME?</v>
      </c>
      <c r="F52" s="115" t="s">
        <v>305</v>
      </c>
      <c r="G52" s="114"/>
      <c r="H52" s="109" t="str">
        <f ca="1">IF(ISNUMBER(_xll.BDP($J52,"BN_SURVEY_MEDIAN")),_xll.BDP($J52,"BN_SURVEY_MEDIAN"),"-")</f>
        <v>-</v>
      </c>
      <c r="I52" s="104" t="e">
        <f ca="1">_xll.BDP(J52,$N$4)</f>
        <v>#NAME?</v>
      </c>
      <c r="J52" s="111" t="s">
        <v>87</v>
      </c>
    </row>
    <row r="53" spans="2:10" x14ac:dyDescent="0.4">
      <c r="B53" s="104" t="e">
        <f ca="1">_xll.BDP(J53,"ECO_FUTURE_RELEASE_DATE")</f>
        <v>#NAME?</v>
      </c>
      <c r="C53" s="105" t="s">
        <v>187</v>
      </c>
      <c r="D53" s="105" t="s">
        <v>225</v>
      </c>
      <c r="E53" s="107" t="e">
        <f ca="1">_xll.BDP(J53,"OBSERVATION_PERIOD")</f>
        <v>#NAME?</v>
      </c>
      <c r="F53" s="115" t="s">
        <v>305</v>
      </c>
      <c r="G53" s="114"/>
      <c r="H53" s="109" t="str">
        <f ca="1">IF(ISNUMBER(_xll.BDP($J53,"BN_SURVEY_MEDIAN")),_xll.BDP($J53,"BN_SURVEY_MEDIAN"),"-")</f>
        <v>-</v>
      </c>
      <c r="I53" s="104" t="e">
        <f ca="1">_xll.BDP(J53,$N$4)</f>
        <v>#NAME?</v>
      </c>
      <c r="J53" s="111" t="s">
        <v>89</v>
      </c>
    </row>
    <row r="54" spans="2:10" x14ac:dyDescent="0.4">
      <c r="B54" s="104" t="e">
        <f ca="1">_xll.BDP(J54,"ECO_FUTURE_RELEASE_DATE")</f>
        <v>#NAME?</v>
      </c>
      <c r="C54" s="105" t="s">
        <v>187</v>
      </c>
      <c r="D54" s="105" t="s">
        <v>226</v>
      </c>
      <c r="E54" s="107" t="e">
        <f ca="1">_xll.BDP(J54,"OBSERVATION_PERIOD")</f>
        <v>#NAME?</v>
      </c>
      <c r="F54" s="115" t="s">
        <v>305</v>
      </c>
      <c r="G54" s="114"/>
      <c r="H54" s="109" t="str">
        <f ca="1">IF(ISNUMBER(_xll.BDP($J54,"BN_SURVEY_MEDIAN")),_xll.BDP($J54,"BN_SURVEY_MEDIAN"),"-")</f>
        <v>-</v>
      </c>
      <c r="I54" s="104" t="e">
        <f ca="1">_xll.BDP(J54,$N$4)</f>
        <v>#NAME?</v>
      </c>
      <c r="J54" s="111" t="s">
        <v>227</v>
      </c>
    </row>
    <row r="55" spans="2:10" x14ac:dyDescent="0.4">
      <c r="B55" s="104" t="e">
        <f ca="1">_xll.BDP(J55,"ECO_FUTURE_RELEASE_DATE")</f>
        <v>#NAME?</v>
      </c>
      <c r="C55" s="105" t="s">
        <v>187</v>
      </c>
      <c r="D55" s="105" t="s">
        <v>228</v>
      </c>
      <c r="E55" s="107" t="e">
        <f ca="1">_xll.BDP(J55,"OBSERVATION_PERIOD")</f>
        <v>#NAME?</v>
      </c>
      <c r="F55" s="115" t="s">
        <v>306</v>
      </c>
      <c r="G55" s="114"/>
      <c r="H55" s="109" t="str">
        <f ca="1">IF(ISNUMBER(_xll.BDP($J55,"BN_SURVEY_MEDIAN")),_xll.BDP($J55,"BN_SURVEY_MEDIAN"),"-")</f>
        <v>-</v>
      </c>
      <c r="I55" s="104" t="e">
        <f ca="1">_xll.BDP(J55,$N$4)</f>
        <v>#NAME?</v>
      </c>
      <c r="J55" s="111" t="s">
        <v>229</v>
      </c>
    </row>
    <row r="56" spans="2:10" x14ac:dyDescent="0.4">
      <c r="B56" s="104" t="e">
        <f ca="1">_xll.BDP(J56,"ECO_FUTURE_RELEASE_DATE")</f>
        <v>#NAME?</v>
      </c>
      <c r="C56" s="105" t="s">
        <v>188</v>
      </c>
      <c r="D56" s="106" t="s">
        <v>79</v>
      </c>
      <c r="E56" s="107" t="e">
        <f ca="1">_xll.BDP(J56,"OBSERVATION_PERIOD")</f>
        <v>#NAME?</v>
      </c>
      <c r="F56" s="108" t="s">
        <v>305</v>
      </c>
      <c r="G56" s="114"/>
      <c r="H56" s="109" t="str">
        <f ca="1">IF(ISNUMBER(_xll.BDP($J56,"BN_SURVEY_MEDIAN")),_xll.BDP($J56,"BN_SURVEY_MEDIAN"),"-")</f>
        <v>-</v>
      </c>
      <c r="I56" s="104" t="e">
        <f ca="1">_xll.BDP(J56,$N$4)</f>
        <v>#NAME?</v>
      </c>
      <c r="J56" s="107" t="s">
        <v>127</v>
      </c>
    </row>
    <row r="57" spans="2:10" x14ac:dyDescent="0.4">
      <c r="B57" s="104" t="e">
        <f ca="1">_xll.BDP(J57,"ECO_FUTURE_RELEASE_DATE")</f>
        <v>#NAME?</v>
      </c>
      <c r="C57" s="105" t="s">
        <v>188</v>
      </c>
      <c r="D57" s="105" t="s">
        <v>315</v>
      </c>
      <c r="E57" s="107" t="e">
        <f ca="1">_xll.BDP(J57,"OBSERVATION_PERIOD")</f>
        <v>#NAME?</v>
      </c>
      <c r="F57" s="108" t="s">
        <v>307</v>
      </c>
      <c r="G57" s="114"/>
      <c r="H57" s="109" t="str">
        <f ca="1">IF(ISNUMBER(_xll.BDP($J57,"BN_SURVEY_MEDIAN")),_xll.BDP($J57,"BN_SURVEY_MEDIAN"),"-")</f>
        <v>-</v>
      </c>
      <c r="I57" s="104" t="e">
        <f ca="1">_xll.BDP(J57,$N$4)</f>
        <v>#NAME?</v>
      </c>
      <c r="J57" s="111" t="s">
        <v>316</v>
      </c>
    </row>
    <row r="58" spans="2:10" x14ac:dyDescent="0.4">
      <c r="B58" s="104" t="e">
        <f ca="1">_xll.BDP(J58,"ECO_FUTURE_RELEASE_DATE")</f>
        <v>#NAME?</v>
      </c>
      <c r="C58" s="105" t="s">
        <v>188</v>
      </c>
      <c r="D58" s="105" t="s">
        <v>314</v>
      </c>
      <c r="E58" s="107" t="e">
        <f ca="1">_xll.BDP(J58,"OBSERVATION_PERIOD")</f>
        <v>#NAME?</v>
      </c>
      <c r="F58" s="108" t="s">
        <v>307</v>
      </c>
      <c r="G58" s="114"/>
      <c r="H58" s="109" t="str">
        <f ca="1">IF(ISNUMBER(_xll.BDP($J58,"BN_SURVEY_MEDIAN")),_xll.BDP($J58,"BN_SURVEY_MEDIAN"),"-")</f>
        <v>-</v>
      </c>
      <c r="I58" s="104" t="e">
        <f ca="1">_xll.BDP(J58,$N$4)</f>
        <v>#NAME?</v>
      </c>
      <c r="J58" s="111" t="s">
        <v>317</v>
      </c>
    </row>
    <row r="59" spans="2:10" x14ac:dyDescent="0.4">
      <c r="B59" s="104" t="e">
        <f ca="1">_xll.BDP(J59,"ECO_FUTURE_RELEASE_DATE")</f>
        <v>#NAME?</v>
      </c>
      <c r="C59" s="105" t="s">
        <v>188</v>
      </c>
      <c r="D59" s="105" t="s">
        <v>240</v>
      </c>
      <c r="E59" s="107" t="e">
        <f ca="1">_xll.BDP(J59,"OBSERVATION_PERIOD")</f>
        <v>#NAME?</v>
      </c>
      <c r="F59" s="108" t="s">
        <v>305</v>
      </c>
      <c r="G59" s="114"/>
      <c r="H59" s="109" t="str">
        <f ca="1">IF(ISNUMBER(_xll.BDP($J59,"BN_SURVEY_MEDIAN")),_xll.BDP($J59,"BN_SURVEY_MEDIAN"),"-")</f>
        <v>-</v>
      </c>
      <c r="I59" s="104" t="e">
        <f ca="1">_xll.BDP(J59,$N$4)</f>
        <v>#NAME?</v>
      </c>
      <c r="J59" s="111" t="s">
        <v>241</v>
      </c>
    </row>
    <row r="60" spans="2:10" x14ac:dyDescent="0.4">
      <c r="B60" s="104" t="e">
        <f ca="1">_xll.BDP(J60,"ECO_FUTURE_RELEASE_DATE")</f>
        <v>#NAME?</v>
      </c>
      <c r="C60" s="105" t="s">
        <v>188</v>
      </c>
      <c r="D60" s="105" t="s">
        <v>242</v>
      </c>
      <c r="E60" s="107" t="e">
        <f ca="1">_xll.BDP(J60,"OBSERVATION_PERIOD")</f>
        <v>#NAME?</v>
      </c>
      <c r="F60" s="108" t="s">
        <v>305</v>
      </c>
      <c r="G60" s="114"/>
      <c r="H60" s="109" t="str">
        <f ca="1">IF(ISNUMBER(_xll.BDP($J60,"BN_SURVEY_MEDIAN")),_xll.BDP($J60,"BN_SURVEY_MEDIAN"),"-")</f>
        <v>-</v>
      </c>
      <c r="I60" s="104" t="e">
        <f ca="1">_xll.BDP(J60,$N$4)</f>
        <v>#NAME?</v>
      </c>
      <c r="J60" s="111" t="s">
        <v>243</v>
      </c>
    </row>
    <row r="61" spans="2:10" x14ac:dyDescent="0.4">
      <c r="B61" s="104" t="e">
        <f ca="1">_xll.BDP(J61,"ECO_FUTURE_RELEASE_DATE")</f>
        <v>#NAME?</v>
      </c>
      <c r="C61" s="105" t="s">
        <v>188</v>
      </c>
      <c r="D61" s="105" t="s">
        <v>244</v>
      </c>
      <c r="E61" s="107" t="e">
        <f ca="1">_xll.BDP(J61,"OBSERVATION_PERIOD")</f>
        <v>#NAME?</v>
      </c>
      <c r="F61" s="115" t="s">
        <v>305</v>
      </c>
      <c r="G61" s="114"/>
      <c r="H61" s="109" t="str">
        <f ca="1">IF(ISNUMBER(_xll.BDP($J61,"BN_SURVEY_MEDIAN")),_xll.BDP($J61,"BN_SURVEY_MEDIAN"),"-")</f>
        <v>-</v>
      </c>
      <c r="I61" s="104" t="e">
        <f ca="1">_xll.BDP(J61,$N$4)</f>
        <v>#NAME?</v>
      </c>
      <c r="J61" s="111" t="s">
        <v>245</v>
      </c>
    </row>
    <row r="62" spans="2:10" x14ac:dyDescent="0.4">
      <c r="B62" s="104" t="e">
        <f ca="1">_xll.BDP(J62,"ECO_FUTURE_RELEASE_DATE")</f>
        <v>#NAME?</v>
      </c>
      <c r="C62" s="105" t="s">
        <v>188</v>
      </c>
      <c r="D62" s="105" t="s">
        <v>221</v>
      </c>
      <c r="E62" s="107" t="e">
        <f ca="1">_xll.BDP(J62,"OBSERVATION_PERIOD")</f>
        <v>#NAME?</v>
      </c>
      <c r="F62" s="115" t="s">
        <v>305</v>
      </c>
      <c r="G62" s="114"/>
      <c r="H62" s="109" t="str">
        <f ca="1">IF(ISNUMBER(_xll.BDP($J62,"BN_SURVEY_MEDIAN")),_xll.BDP($J62,"BN_SURVEY_MEDIAN"),"-")</f>
        <v>-</v>
      </c>
      <c r="I62" s="104" t="e">
        <f ca="1">_xll.BDP(J62,$N$4)</f>
        <v>#NAME?</v>
      </c>
      <c r="J62" s="111" t="s">
        <v>246</v>
      </c>
    </row>
    <row r="63" spans="2:10" x14ac:dyDescent="0.4">
      <c r="B63" s="104" t="e">
        <f ca="1">_xll.BDP(J63,"ECO_FUTURE_RELEASE_DATE")</f>
        <v>#NAME?</v>
      </c>
      <c r="C63" s="105" t="s">
        <v>188</v>
      </c>
      <c r="D63" s="105" t="s">
        <v>247</v>
      </c>
      <c r="E63" s="107" t="e">
        <f ca="1">_xll.BDP(J63,"OBSERVATION_PERIOD")</f>
        <v>#NAME?</v>
      </c>
      <c r="F63" s="115" t="s">
        <v>305</v>
      </c>
      <c r="G63" s="114"/>
      <c r="H63" s="109" t="str">
        <f ca="1">IF(ISNUMBER(_xll.BDP($J63,"BN_SURVEY_MEDIAN")),_xll.BDP($J63,"BN_SURVEY_MEDIAN"),"-")</f>
        <v>-</v>
      </c>
      <c r="I63" s="104" t="e">
        <f ca="1">_xll.BDP(J63,$N$4)</f>
        <v>#NAME?</v>
      </c>
      <c r="J63" s="111" t="s">
        <v>248</v>
      </c>
    </row>
    <row r="64" spans="2:10" x14ac:dyDescent="0.4">
      <c r="B64" s="104" t="e">
        <f ca="1">_xll.BDP(J64,"ECO_FUTURE_RELEASE_DATE")</f>
        <v>#NAME?</v>
      </c>
      <c r="C64" s="105" t="s">
        <v>188</v>
      </c>
      <c r="D64" s="105" t="s">
        <v>249</v>
      </c>
      <c r="E64" s="107" t="e">
        <f ca="1">_xll.BDP(J64,"OBSERVATION_PERIOD")</f>
        <v>#NAME?</v>
      </c>
      <c r="F64" s="115" t="s">
        <v>305</v>
      </c>
      <c r="G64" s="114"/>
      <c r="H64" s="109" t="str">
        <f ca="1">IF(ISNUMBER(_xll.BDP($J64,"BN_SURVEY_MEDIAN")),_xll.BDP($J64,"BN_SURVEY_MEDIAN"),"-")</f>
        <v>-</v>
      </c>
      <c r="I64" s="104" t="e">
        <f ca="1">_xll.BDP(J64,$N$4)</f>
        <v>#NAME?</v>
      </c>
      <c r="J64" s="111" t="s">
        <v>250</v>
      </c>
    </row>
    <row r="65" spans="2:10" x14ac:dyDescent="0.4">
      <c r="B65" s="104" t="e">
        <f ca="1">_xll.BDP(J65,"ECO_FUTURE_RELEASE_DATE")</f>
        <v>#NAME?</v>
      </c>
      <c r="C65" s="105" t="s">
        <v>188</v>
      </c>
      <c r="D65" s="105" t="s">
        <v>251</v>
      </c>
      <c r="E65" s="107" t="e">
        <f ca="1">_xll.BDP(J65,"OBSERVATION_PERIOD")</f>
        <v>#NAME?</v>
      </c>
      <c r="F65" s="115" t="s">
        <v>305</v>
      </c>
      <c r="G65" s="114"/>
      <c r="H65" s="109" t="str">
        <f ca="1">IF(ISNUMBER(_xll.BDP($J65,"BN_SURVEY_MEDIAN")),_xll.BDP($J65,"BN_SURVEY_MEDIAN"),"-")</f>
        <v>-</v>
      </c>
      <c r="I65" s="104" t="e">
        <f ca="1">_xll.BDP(J65,$N$4)</f>
        <v>#NAME?</v>
      </c>
      <c r="J65" s="111" t="s">
        <v>252</v>
      </c>
    </row>
    <row r="66" spans="2:10" x14ac:dyDescent="0.4">
      <c r="B66" s="104" t="e">
        <f ca="1">_xll.BDP(J66,"ECO_FUTURE_RELEASE_DATE")</f>
        <v>#NAME?</v>
      </c>
      <c r="C66" s="105" t="s">
        <v>188</v>
      </c>
      <c r="D66" s="105" t="s">
        <v>253</v>
      </c>
      <c r="E66" s="107" t="e">
        <f ca="1">_xll.BDP(J66,"OBSERVATION_PERIOD")</f>
        <v>#NAME?</v>
      </c>
      <c r="F66" s="115" t="s">
        <v>305</v>
      </c>
      <c r="G66" s="114"/>
      <c r="H66" s="109" t="str">
        <f ca="1">IF(ISNUMBER(_xll.BDP($J66,"BN_SURVEY_MEDIAN")),_xll.BDP($J66,"BN_SURVEY_MEDIAN"),"-")</f>
        <v>-</v>
      </c>
      <c r="I66" s="104" t="e">
        <f ca="1">_xll.BDP(J66,$N$4)</f>
        <v>#NAME?</v>
      </c>
      <c r="J66" s="111" t="s">
        <v>254</v>
      </c>
    </row>
    <row r="67" spans="2:10" x14ac:dyDescent="0.4">
      <c r="B67" s="104" t="e">
        <f ca="1">_xll.BDP(J67,"ECO_FUTURE_RELEASE_DATE")</f>
        <v>#NAME?</v>
      </c>
      <c r="C67" s="105" t="s">
        <v>189</v>
      </c>
      <c r="D67" s="105" t="s">
        <v>201</v>
      </c>
      <c r="E67" s="107" t="e">
        <f ca="1">_xll.BDP(J67,"OBSERVATION_PERIOD")</f>
        <v>#NAME?</v>
      </c>
      <c r="F67" s="115" t="s">
        <v>305</v>
      </c>
      <c r="G67" s="114"/>
      <c r="H67" s="109" t="str">
        <f ca="1">IF(ISNUMBER(_xll.BDP($J67,"BN_SURVEY_MEDIAN")),_xll.BDP($J67,"BN_SURVEY_MEDIAN"),"-")</f>
        <v>-</v>
      </c>
      <c r="I67" s="104" t="e">
        <f ca="1">_xll.BDP(J67,$N$4)</f>
        <v>#NAME?</v>
      </c>
      <c r="J67" s="113" t="s">
        <v>174</v>
      </c>
    </row>
    <row r="68" spans="2:10" x14ac:dyDescent="0.4">
      <c r="B68" s="104" t="e">
        <f ca="1">_xll.BDP(J68,"ECO_FUTURE_RELEASE_DATE")</f>
        <v>#NAME?</v>
      </c>
      <c r="C68" s="105" t="s">
        <v>189</v>
      </c>
      <c r="D68" s="105" t="s">
        <v>202</v>
      </c>
      <c r="E68" s="107" t="e">
        <f ca="1">_xll.BDP(J68,"OBSERVATION_PERIOD")</f>
        <v>#NAME?</v>
      </c>
      <c r="F68" s="115" t="s">
        <v>318</v>
      </c>
      <c r="G68" s="114"/>
      <c r="H68" s="109" t="str">
        <f ca="1">IF(ISNUMBER(_xll.BDP($J68,"BN_SURVEY_MEDIAN")),_xll.BDP($J68,"BN_SURVEY_MEDIAN"),"-")</f>
        <v>-</v>
      </c>
      <c r="I68" s="104" t="e">
        <f ca="1">_xll.BDP(J68,$N$4)</f>
        <v>#NAME?</v>
      </c>
      <c r="J68" s="113" t="s">
        <v>203</v>
      </c>
    </row>
    <row r="69" spans="2:10" x14ac:dyDescent="0.4">
      <c r="B69" s="104" t="e">
        <f ca="1">_xll.BDP(J69,"ECO_FUTURE_RELEASE_DATE")</f>
        <v>#NAME?</v>
      </c>
      <c r="C69" s="105" t="s">
        <v>189</v>
      </c>
      <c r="D69" s="105" t="s">
        <v>199</v>
      </c>
      <c r="E69" s="107" t="e">
        <f ca="1">_xll.BDP(J69,"OBSERVATION_PERIOD")</f>
        <v>#NAME?</v>
      </c>
      <c r="F69" s="115" t="s">
        <v>305</v>
      </c>
      <c r="G69" s="114"/>
      <c r="H69" s="109" t="str">
        <f ca="1">IF(ISNUMBER(_xll.BDP($J69,"BN_SURVEY_MEDIAN")),_xll.BDP($J69,"BN_SURVEY_MEDIAN"),"-")</f>
        <v>-</v>
      </c>
      <c r="I69" s="104" t="e">
        <f ca="1">_xll.BDP(J69,$N$4)</f>
        <v>#NAME?</v>
      </c>
      <c r="J69" s="113" t="s">
        <v>175</v>
      </c>
    </row>
    <row r="70" spans="2:10" x14ac:dyDescent="0.4">
      <c r="B70" s="104" t="e">
        <f ca="1">_xll.BDP(J70,"ECO_FUTURE_RELEASE_DATE")</f>
        <v>#NAME?</v>
      </c>
      <c r="C70" s="105" t="s">
        <v>189</v>
      </c>
      <c r="D70" s="105" t="s">
        <v>230</v>
      </c>
      <c r="E70" s="107" t="e">
        <f ca="1">_xll.BDP(J70,"OBSERVATION_PERIOD")</f>
        <v>#NAME?</v>
      </c>
      <c r="F70" s="115" t="s">
        <v>305</v>
      </c>
      <c r="G70" s="114"/>
      <c r="H70" s="109" t="str">
        <f ca="1">IF(ISNUMBER(_xll.BDP($J70,"BN_SURVEY_MEDIAN")),_xll.BDP($J70,"BN_SURVEY_MEDIAN"),"-")</f>
        <v>-</v>
      </c>
      <c r="I70" s="104" t="e">
        <f ca="1">_xll.BDP(J70,$N$4)</f>
        <v>#NAME?</v>
      </c>
      <c r="J70" s="111" t="s">
        <v>231</v>
      </c>
    </row>
    <row r="71" spans="2:10" x14ac:dyDescent="0.4">
      <c r="B71" s="104" t="e">
        <f ca="1">_xll.BDP(J71,"ECO_FUTURE_RELEASE_DATE")</f>
        <v>#NAME?</v>
      </c>
      <c r="C71" s="105" t="s">
        <v>189</v>
      </c>
      <c r="D71" s="105" t="s">
        <v>232</v>
      </c>
      <c r="E71" s="107" t="e">
        <f ca="1">_xll.BDP(J71,"OBSERVATION_PERIOD")</f>
        <v>#NAME?</v>
      </c>
      <c r="F71" s="115" t="s">
        <v>305</v>
      </c>
      <c r="G71" s="114"/>
      <c r="H71" s="109" t="str">
        <f ca="1">IF(ISNUMBER(_xll.BDP($J71,"BN_SURVEY_MEDIAN")),_xll.BDP($J71,"BN_SURVEY_MEDIAN"),"-")</f>
        <v>-</v>
      </c>
      <c r="I71" s="104" t="e">
        <f ca="1">_xll.BDP(J71,$N$4)</f>
        <v>#NAME?</v>
      </c>
      <c r="J71" s="111" t="s">
        <v>233</v>
      </c>
    </row>
    <row r="72" spans="2:10" x14ac:dyDescent="0.4">
      <c r="B72" s="104" t="e">
        <f ca="1">_xll.BDP(J72,"ECO_FUTURE_RELEASE_DATE")</f>
        <v>#NAME?</v>
      </c>
      <c r="C72" s="105" t="s">
        <v>189</v>
      </c>
      <c r="D72" s="105" t="s">
        <v>234</v>
      </c>
      <c r="E72" s="107" t="e">
        <f ca="1">_xll.BDP(J72,"OBSERVATION_PERIOD")</f>
        <v>#NAME?</v>
      </c>
      <c r="F72" s="115" t="s">
        <v>305</v>
      </c>
      <c r="G72" s="114"/>
      <c r="H72" s="109" t="str">
        <f ca="1">IF(ISNUMBER(_xll.BDP($J72,"BN_SURVEY_MEDIAN")),_xll.BDP($J72,"BN_SURVEY_MEDIAN"),"-")</f>
        <v>-</v>
      </c>
      <c r="I72" s="104" t="e">
        <f ca="1">_xll.BDP(J72,$N$4)</f>
        <v>#NAME?</v>
      </c>
      <c r="J72" s="111" t="s">
        <v>235</v>
      </c>
    </row>
    <row r="73" spans="2:10" x14ac:dyDescent="0.4">
      <c r="B73" s="104" t="e">
        <f ca="1">_xll.BDP(J73,"ECO_FUTURE_RELEASE_DATE")</f>
        <v>#NAME?</v>
      </c>
      <c r="C73" s="105" t="s">
        <v>189</v>
      </c>
      <c r="D73" s="105" t="s">
        <v>236</v>
      </c>
      <c r="E73" s="107" t="e">
        <f ca="1">_xll.BDP(J73,"OBSERVATION_PERIOD")</f>
        <v>#NAME?</v>
      </c>
      <c r="F73" s="115" t="s">
        <v>305</v>
      </c>
      <c r="G73" s="114"/>
      <c r="H73" s="109" t="str">
        <f ca="1">IF(ISNUMBER(_xll.BDP($J73,"BN_SURVEY_MEDIAN")),_xll.BDP($J73,"BN_SURVEY_MEDIAN"),"-")</f>
        <v>-</v>
      </c>
      <c r="I73" s="104" t="e">
        <f ca="1">_xll.BDP(J73,$N$4)</f>
        <v>#NAME?</v>
      </c>
      <c r="J73" s="111" t="s">
        <v>237</v>
      </c>
    </row>
    <row r="74" spans="2:10" x14ac:dyDescent="0.4">
      <c r="B74" s="104" t="e">
        <f ca="1">_xll.BDP(J74,"ECO_FUTURE_RELEASE_DATE")</f>
        <v>#NAME?</v>
      </c>
      <c r="C74" s="105" t="s">
        <v>189</v>
      </c>
      <c r="D74" s="105" t="s">
        <v>238</v>
      </c>
      <c r="E74" s="107" t="e">
        <f ca="1">_xll.BDP(J74,"OBSERVATION_PERIOD")</f>
        <v>#NAME?</v>
      </c>
      <c r="F74" s="115" t="s">
        <v>307</v>
      </c>
      <c r="G74" s="114"/>
      <c r="H74" s="109" t="str">
        <f ca="1">IF(ISNUMBER(_xll.BDP($J74,"BN_SURVEY_MEDIAN")),_xll.BDP($J74,"BN_SURVEY_MEDIAN"),"-")</f>
        <v>-</v>
      </c>
      <c r="I74" s="104" t="e">
        <f ca="1">_xll.BDP(J74,$N$4)</f>
        <v>#NAME?</v>
      </c>
      <c r="J74" s="111" t="s">
        <v>239</v>
      </c>
    </row>
    <row r="75" spans="2:10" x14ac:dyDescent="0.4">
      <c r="B75" s="104" t="e">
        <f ca="1">_xll.BDP(J75,"ECO_FUTURE_RELEASE_DATE")</f>
        <v>#NAME?</v>
      </c>
      <c r="C75" s="105" t="s">
        <v>190</v>
      </c>
      <c r="D75" s="105" t="s">
        <v>319</v>
      </c>
      <c r="E75" s="107" t="e">
        <f ca="1">_xll.BDP(J75,"OBSERVATION_PERIOD")</f>
        <v>#NAME?</v>
      </c>
      <c r="F75" s="115" t="s">
        <v>305</v>
      </c>
      <c r="G75" s="114"/>
      <c r="H75" s="109" t="str">
        <f ca="1">IF(ISNUMBER(_xll.BDP($J75,"BN_SURVEY_MEDIAN")),_xll.BDP($J75,"BN_SURVEY_MEDIAN"),"-")</f>
        <v>-</v>
      </c>
      <c r="I75" s="104" t="e">
        <f ca="1">_xll.BDP(J75,$N$4)</f>
        <v>#NAME?</v>
      </c>
      <c r="J75" s="113" t="s">
        <v>75</v>
      </c>
    </row>
    <row r="76" spans="2:10" x14ac:dyDescent="0.4">
      <c r="B76" s="104" t="e">
        <f ca="1">_xll.BDP(J76,"ECO_FUTURE_RELEASE_DATE")</f>
        <v>#NAME?</v>
      </c>
      <c r="C76" s="105" t="s">
        <v>190</v>
      </c>
      <c r="D76" s="105" t="s">
        <v>258</v>
      </c>
      <c r="E76" s="107" t="e">
        <f ca="1">_xll.BDP(J76,"OBSERVATION_PERIOD")</f>
        <v>#NAME?</v>
      </c>
      <c r="F76" s="115" t="s">
        <v>305</v>
      </c>
      <c r="G76" s="114"/>
      <c r="H76" s="109" t="str">
        <f ca="1">IF(ISNUMBER(_xll.BDP($J76,"BN_SURVEY_MEDIAN")),_xll.BDP($J76,"BN_SURVEY_MEDIAN"),"-")</f>
        <v>-</v>
      </c>
      <c r="I76" s="104" t="e">
        <f ca="1">_xll.BDP(J76,$N$4)</f>
        <v>#NAME?</v>
      </c>
      <c r="J76" s="111" t="s">
        <v>143</v>
      </c>
    </row>
    <row r="77" spans="2:10" x14ac:dyDescent="0.4">
      <c r="B77" s="104" t="e">
        <f ca="1">_xll.BDP(J77,"ECO_FUTURE_RELEASE_DATE")</f>
        <v>#NAME?</v>
      </c>
      <c r="C77" s="105" t="s">
        <v>190</v>
      </c>
      <c r="D77" s="105" t="s">
        <v>259</v>
      </c>
      <c r="E77" s="107" t="e">
        <f ca="1">_xll.BDP(J77,"OBSERVATION_PERIOD")</f>
        <v>#NAME?</v>
      </c>
      <c r="F77" s="115" t="s">
        <v>305</v>
      </c>
      <c r="G77" s="114"/>
      <c r="H77" s="109" t="str">
        <f ca="1">IF(ISNUMBER(_xll.BDP($J77,"BN_SURVEY_MEDIAN")),_xll.BDP($J77,"BN_SURVEY_MEDIAN"),"-")</f>
        <v>-</v>
      </c>
      <c r="I77" s="104" t="e">
        <f ca="1">_xll.BDP(J77,$N$4)</f>
        <v>#NAME?</v>
      </c>
      <c r="J77" s="111" t="s">
        <v>144</v>
      </c>
    </row>
    <row r="78" spans="2:10" x14ac:dyDescent="0.4">
      <c r="B78" s="104" t="e">
        <f ca="1">_xll.BDP(J78,"ECO_FUTURE_RELEASE_DATE")</f>
        <v>#NAME?</v>
      </c>
      <c r="C78" s="105" t="s">
        <v>190</v>
      </c>
      <c r="D78" s="105" t="s">
        <v>260</v>
      </c>
      <c r="E78" s="107" t="e">
        <f ca="1">_xll.BDP(J78,"OBSERVATION_PERIOD")</f>
        <v>#NAME?</v>
      </c>
      <c r="F78" s="115" t="s">
        <v>305</v>
      </c>
      <c r="G78" s="114"/>
      <c r="H78" s="109" t="str">
        <f ca="1">IF(ISNUMBER(_xll.BDP($J78,"BN_SURVEY_MEDIAN")),_xll.BDP($J78,"BN_SURVEY_MEDIAN"),"-")</f>
        <v>-</v>
      </c>
      <c r="I78" s="104" t="e">
        <f ca="1">_xll.BDP(J78,$N$4)</f>
        <v>#NAME?</v>
      </c>
      <c r="J78" s="111" t="s">
        <v>120</v>
      </c>
    </row>
    <row r="79" spans="2:10" x14ac:dyDescent="0.4">
      <c r="B79" s="104" t="e">
        <f ca="1">_xll.BDP(J79,"ECO_FUTURE_RELEASE_DATE")</f>
        <v>#NAME?</v>
      </c>
      <c r="C79" s="105" t="s">
        <v>190</v>
      </c>
      <c r="D79" s="105" t="s">
        <v>261</v>
      </c>
      <c r="E79" s="107" t="e">
        <f ca="1">_xll.BDP(J79,"OBSERVATION_PERIOD")</f>
        <v>#NAME?</v>
      </c>
      <c r="F79" s="115" t="s">
        <v>320</v>
      </c>
      <c r="G79" s="114"/>
      <c r="H79" s="109" t="str">
        <f ca="1">IF(ISNUMBER(_xll.BDP($J79,"BN_SURVEY_MEDIAN")),_xll.BDP($J79,"BN_SURVEY_MEDIAN"),"-")</f>
        <v>-</v>
      </c>
      <c r="I79" s="104" t="e">
        <f ca="1">_xll.BDP(J79,$N$4)</f>
        <v>#NAME?</v>
      </c>
      <c r="J79" s="111" t="s">
        <v>121</v>
      </c>
    </row>
    <row r="80" spans="2:10" x14ac:dyDescent="0.4">
      <c r="B80" s="104" t="e">
        <f ca="1">_xll.BDP(J80,"ECO_FUTURE_RELEASE_DATE")</f>
        <v>#NAME?</v>
      </c>
      <c r="C80" s="105" t="s">
        <v>190</v>
      </c>
      <c r="D80" s="105" t="s">
        <v>262</v>
      </c>
      <c r="E80" s="107" t="e">
        <f ca="1">_xll.BDP(J80,"OBSERVATION_PERIOD")</f>
        <v>#NAME?</v>
      </c>
      <c r="F80" s="115" t="s">
        <v>305</v>
      </c>
      <c r="G80" s="114"/>
      <c r="H80" s="109" t="str">
        <f ca="1">IF(ISNUMBER(_xll.BDP($J80,"BN_SURVEY_MEDIAN")),_xll.BDP($J80,"BN_SURVEY_MEDIAN"),"-")</f>
        <v>-</v>
      </c>
      <c r="I80" s="104" t="e">
        <f ca="1">_xll.BDP(J80,$N$4)</f>
        <v>#NAME?</v>
      </c>
      <c r="J80" s="111" t="s">
        <v>122</v>
      </c>
    </row>
    <row r="81" spans="2:10" x14ac:dyDescent="0.4">
      <c r="B81" s="104" t="e">
        <f ca="1">_xll.BDP(J81,"ECO_FUTURE_RELEASE_DATE")</f>
        <v>#NAME?</v>
      </c>
      <c r="C81" s="105" t="s">
        <v>190</v>
      </c>
      <c r="D81" s="105" t="s">
        <v>263</v>
      </c>
      <c r="E81" s="107" t="e">
        <f ca="1">_xll.BDP(J81,"OBSERVATION_PERIOD")</f>
        <v>#NAME?</v>
      </c>
      <c r="F81" s="115" t="s">
        <v>307</v>
      </c>
      <c r="G81" s="114"/>
      <c r="H81" s="109" t="str">
        <f ca="1">IF(ISNUMBER(_xll.BDP($J81,"BN_SURVEY_MEDIAN")),_xll.BDP($J81,"BN_SURVEY_MEDIAN"),"-")</f>
        <v>-</v>
      </c>
      <c r="I81" s="104" t="e">
        <f ca="1">_xll.BDP(J81,$N$4)</f>
        <v>#NAME?</v>
      </c>
      <c r="J81" s="111" t="s">
        <v>173</v>
      </c>
    </row>
    <row r="82" spans="2:10" x14ac:dyDescent="0.4">
      <c r="B82" s="104" t="e">
        <f ca="1">_xll.BDP(J82,"ECO_FUTURE_RELEASE_DATE")</f>
        <v>#NAME?</v>
      </c>
      <c r="C82" s="105" t="s">
        <v>191</v>
      </c>
      <c r="D82" s="106" t="s">
        <v>103</v>
      </c>
      <c r="E82" s="107" t="e">
        <f ca="1">_xll.BDP(J82,"OBSERVATION_PERIOD")</f>
        <v>#NAME?</v>
      </c>
      <c r="F82" s="108" t="s">
        <v>305</v>
      </c>
      <c r="G82" s="114"/>
      <c r="H82" s="109" t="str">
        <f ca="1">IF(ISNUMBER(_xll.BDP($J82,"BN_SURVEY_MEDIAN")),_xll.BDP($J82,"BN_SURVEY_MEDIAN"),"-")</f>
        <v>-</v>
      </c>
      <c r="I82" s="104" t="e">
        <f ca="1">_xll.BDP(J82,$N$4)</f>
        <v>#NAME?</v>
      </c>
      <c r="J82" s="107" t="s">
        <v>102</v>
      </c>
    </row>
    <row r="83" spans="2:10" x14ac:dyDescent="0.4">
      <c r="B83" s="104" t="e">
        <f ca="1">_xll.BDP(J83,"ECO_FUTURE_RELEASE_DATE")</f>
        <v>#NAME?</v>
      </c>
      <c r="C83" s="105" t="s">
        <v>191</v>
      </c>
      <c r="D83" s="106" t="s">
        <v>105</v>
      </c>
      <c r="E83" s="107" t="e">
        <f ca="1">_xll.BDP(J83,"OBSERVATION_PERIOD")</f>
        <v>#NAME?</v>
      </c>
      <c r="F83" s="108" t="s">
        <v>305</v>
      </c>
      <c r="G83" s="114"/>
      <c r="H83" s="109" t="str">
        <f ca="1">IF(ISNUMBER(_xll.BDP($J83,"BN_SURVEY_MEDIAN")),_xll.BDP($J83,"BN_SURVEY_MEDIAN"),"-")</f>
        <v>-</v>
      </c>
      <c r="I83" s="104" t="e">
        <f ca="1">_xll.BDP(J83,$N$4)</f>
        <v>#NAME?</v>
      </c>
      <c r="J83" s="107" t="s">
        <v>104</v>
      </c>
    </row>
    <row r="84" spans="2:10" x14ac:dyDescent="0.4">
      <c r="B84" s="104" t="e">
        <f ca="1">_xll.BDP(J84,"ECO_FUTURE_RELEASE_DATE")</f>
        <v>#NAME?</v>
      </c>
      <c r="C84" s="105" t="s">
        <v>191</v>
      </c>
      <c r="D84" s="106" t="s">
        <v>129</v>
      </c>
      <c r="E84" s="107" t="e">
        <f ca="1">_xll.BDP(J84,"OBSERVATION_PERIOD")</f>
        <v>#NAME?</v>
      </c>
      <c r="F84" s="108" t="s">
        <v>307</v>
      </c>
      <c r="G84" s="114"/>
      <c r="H84" s="109" t="str">
        <f ca="1">IF(ISNUMBER(_xll.BDP($J84,"BN_SURVEY_MEDIAN")),_xll.BDP($J84,"BN_SURVEY_MEDIAN"),"-")</f>
        <v>-</v>
      </c>
      <c r="I84" s="104" t="e">
        <f ca="1">_xll.BDP(J84,$N$4)</f>
        <v>#NAME?</v>
      </c>
      <c r="J84" s="107" t="s">
        <v>128</v>
      </c>
    </row>
    <row r="85" spans="2:10" x14ac:dyDescent="0.4">
      <c r="B85" s="104" t="e">
        <f ca="1">_xll.BDP(J85,"ECO_FUTURE_RELEASE_DATE")</f>
        <v>#NAME?</v>
      </c>
      <c r="C85" s="105" t="s">
        <v>191</v>
      </c>
      <c r="D85" s="106" t="s">
        <v>131</v>
      </c>
      <c r="E85" s="107" t="e">
        <f ca="1">_xll.BDP(J85,"OBSERVATION_PERIOD")</f>
        <v>#NAME?</v>
      </c>
      <c r="F85" s="108" t="s">
        <v>305</v>
      </c>
      <c r="G85" s="114"/>
      <c r="H85" s="109" t="str">
        <f ca="1">IF(ISNUMBER(_xll.BDP($J85,"BN_SURVEY_MEDIAN")),_xll.BDP($J85,"BN_SURVEY_MEDIAN"),"-")</f>
        <v>-</v>
      </c>
      <c r="I85" s="104" t="e">
        <f ca="1">_xll.BDP(J85,$N$4)</f>
        <v>#NAME?</v>
      </c>
      <c r="J85" s="107" t="s">
        <v>130</v>
      </c>
    </row>
    <row r="86" spans="2:10" x14ac:dyDescent="0.4">
      <c r="B86" s="104" t="e">
        <f ca="1">_xll.BDP(J86,"ECO_FUTURE_RELEASE_DATE")</f>
        <v>#NAME?</v>
      </c>
      <c r="C86" s="105" t="s">
        <v>191</v>
      </c>
      <c r="D86" s="106" t="s">
        <v>133</v>
      </c>
      <c r="E86" s="107" t="e">
        <f ca="1">_xll.BDP(J86,"OBSERVATION_PERIOD")</f>
        <v>#NAME?</v>
      </c>
      <c r="F86" s="108" t="s">
        <v>305</v>
      </c>
      <c r="G86" s="114"/>
      <c r="H86" s="109" t="str">
        <f ca="1">IF(ISNUMBER(_xll.BDP($J86,"BN_SURVEY_MEDIAN")),_xll.BDP($J86,"BN_SURVEY_MEDIAN"),"-")</f>
        <v>-</v>
      </c>
      <c r="I86" s="104" t="e">
        <f ca="1">_xll.BDP(J86,$N$4)</f>
        <v>#NAME?</v>
      </c>
      <c r="J86" s="107" t="s">
        <v>132</v>
      </c>
    </row>
    <row r="87" spans="2:10" x14ac:dyDescent="0.4">
      <c r="B87" s="104" t="e">
        <f ca="1">_xll.BDP(J87,"ECO_FUTURE_RELEASE_DATE")</f>
        <v>#NAME?</v>
      </c>
      <c r="C87" s="105" t="s">
        <v>191</v>
      </c>
      <c r="D87" s="106" t="s">
        <v>155</v>
      </c>
      <c r="E87" s="107" t="e">
        <f ca="1">_xll.BDP(J87,"OBSERVATION_PERIOD")</f>
        <v>#NAME?</v>
      </c>
      <c r="F87" s="108" t="s">
        <v>305</v>
      </c>
      <c r="G87" s="114"/>
      <c r="H87" s="109" t="str">
        <f ca="1">IF(ISNUMBER(_xll.BDP($J87,"BN_SURVEY_MEDIAN")),_xll.BDP($J87,"BN_SURVEY_MEDIAN"),"-")</f>
        <v>-</v>
      </c>
      <c r="I87" s="104" t="e">
        <f ca="1">_xll.BDP(J87,$N$4)</f>
        <v>#NAME?</v>
      </c>
      <c r="J87" s="107" t="s">
        <v>154</v>
      </c>
    </row>
    <row r="88" spans="2:10" x14ac:dyDescent="0.4">
      <c r="B88" s="104" t="e">
        <f ca="1">_xll.BDP(J88,"ECO_FUTURE_RELEASE_DATE")</f>
        <v>#NAME?</v>
      </c>
      <c r="C88" s="105" t="s">
        <v>191</v>
      </c>
      <c r="D88" s="105" t="s">
        <v>205</v>
      </c>
      <c r="E88" s="107" t="e">
        <f ca="1">_xll.BDP(J88,"OBSERVATION_PERIOD")</f>
        <v>#NAME?</v>
      </c>
      <c r="F88" s="115" t="s">
        <v>305</v>
      </c>
      <c r="G88" s="114"/>
      <c r="H88" s="109" t="str">
        <f ca="1">IF(ISNUMBER(_xll.BDP($J88,"BN_SURVEY_MEDIAN")),_xll.BDP($J88,"BN_SURVEY_MEDIAN"),"-")</f>
        <v>-</v>
      </c>
      <c r="I88" s="104" t="e">
        <f ca="1">_xll.BDP(J88,$N$4)</f>
        <v>#NAME?</v>
      </c>
      <c r="J88" s="111" t="s">
        <v>206</v>
      </c>
    </row>
    <row r="89" spans="2:10" x14ac:dyDescent="0.4">
      <c r="B89" s="104" t="e">
        <f ca="1">_xll.BDP(J89,"ECO_FUTURE_RELEASE_DATE")</f>
        <v>#NAME?</v>
      </c>
      <c r="C89" s="105" t="s">
        <v>191</v>
      </c>
      <c r="D89" s="105" t="s">
        <v>207</v>
      </c>
      <c r="E89" s="107" t="e">
        <f ca="1">_xll.BDP(J89,"OBSERVATION_PERIOD")</f>
        <v>#NAME?</v>
      </c>
      <c r="F89" s="115" t="s">
        <v>305</v>
      </c>
      <c r="G89" s="114"/>
      <c r="H89" s="109" t="str">
        <f ca="1">IF(ISNUMBER(_xll.BDP($J89,"BN_SURVEY_MEDIAN")),_xll.BDP($J89,"BN_SURVEY_MEDIAN"),"-")</f>
        <v>-</v>
      </c>
      <c r="I89" s="104" t="e">
        <f ca="1">_xll.BDP(J89,$N$4)</f>
        <v>#NAME?</v>
      </c>
      <c r="J89" s="111" t="s">
        <v>154</v>
      </c>
    </row>
    <row r="90" spans="2:10" x14ac:dyDescent="0.4">
      <c r="B90" s="104" t="e">
        <f ca="1">_xll.BDP(J90,"ECO_FUTURE_RELEASE_DATE")</f>
        <v>#NAME?</v>
      </c>
      <c r="C90" s="105" t="s">
        <v>191</v>
      </c>
      <c r="D90" s="105" t="s">
        <v>208</v>
      </c>
      <c r="E90" s="107" t="e">
        <f ca="1">_xll.BDP(J90,"OBSERVATION_PERIOD")</f>
        <v>#NAME?</v>
      </c>
      <c r="F90" s="115" t="s">
        <v>305</v>
      </c>
      <c r="G90" s="114"/>
      <c r="H90" s="109" t="str">
        <f ca="1">IF(ISNUMBER(_xll.BDP($J90,"BN_SURVEY_MEDIAN")),_xll.BDP($J90,"BN_SURVEY_MEDIAN"),"-")</f>
        <v>-</v>
      </c>
      <c r="I90" s="104" t="e">
        <f ca="1">_xll.BDP(J90,$N$4)</f>
        <v>#NAME?</v>
      </c>
      <c r="J90" s="111" t="s">
        <v>209</v>
      </c>
    </row>
    <row r="91" spans="2:10" x14ac:dyDescent="0.4">
      <c r="B91" s="104" t="e">
        <f ca="1">_xll.BDP(J91,"ECO_FUTURE_RELEASE_DATE")</f>
        <v>#NAME?</v>
      </c>
      <c r="C91" s="105" t="s">
        <v>191</v>
      </c>
      <c r="D91" s="105" t="s">
        <v>210</v>
      </c>
      <c r="E91" s="107" t="e">
        <f ca="1">_xll.BDP(J91,"OBSERVATION_PERIOD")</f>
        <v>#NAME?</v>
      </c>
      <c r="F91" s="115" t="s">
        <v>305</v>
      </c>
      <c r="G91" s="114"/>
      <c r="H91" s="109" t="str">
        <f ca="1">IF(ISNUMBER(_xll.BDP($J91,"BN_SURVEY_MEDIAN")),_xll.BDP($J91,"BN_SURVEY_MEDIAN"),"-")</f>
        <v>-</v>
      </c>
      <c r="I91" s="104" t="e">
        <f ca="1">_xll.BDP(J91,$N$4)</f>
        <v>#NAME?</v>
      </c>
      <c r="J91" s="111" t="s">
        <v>211</v>
      </c>
    </row>
    <row r="92" spans="2:10" x14ac:dyDescent="0.4">
      <c r="B92" s="104" t="e">
        <f ca="1">_xll.BDP(J92,"ECO_FUTURE_RELEASE_DATE")</f>
        <v>#NAME?</v>
      </c>
      <c r="C92" s="105" t="s">
        <v>191</v>
      </c>
      <c r="D92" s="105" t="s">
        <v>212</v>
      </c>
      <c r="E92" s="107" t="e">
        <f ca="1">_xll.BDP(J92,"OBSERVATION_PERIOD")</f>
        <v>#NAME?</v>
      </c>
      <c r="F92" s="115" t="s">
        <v>307</v>
      </c>
      <c r="G92" s="114"/>
      <c r="H92" s="109" t="str">
        <f ca="1">IF(ISNUMBER(_xll.BDP($J92,"BN_SURVEY_MEDIAN")),_xll.BDP($J92,"BN_SURVEY_MEDIAN"),"-")</f>
        <v>-</v>
      </c>
      <c r="I92" s="104" t="e">
        <f ca="1">_xll.BDP(J92,$N$4)</f>
        <v>#NAME?</v>
      </c>
      <c r="J92" s="111" t="s">
        <v>213</v>
      </c>
    </row>
    <row r="93" spans="2:10" x14ac:dyDescent="0.4">
      <c r="B93" s="104" t="e">
        <f ca="1">_xll.BDP(J93,"ECO_FUTURE_RELEASE_DATE")</f>
        <v>#NAME?</v>
      </c>
      <c r="C93" s="105" t="s">
        <v>191</v>
      </c>
      <c r="D93" s="105" t="s">
        <v>214</v>
      </c>
      <c r="E93" s="107" t="e">
        <f ca="1">_xll.BDP(J93,"OBSERVATION_PERIOD")</f>
        <v>#NAME?</v>
      </c>
      <c r="F93" s="115" t="s">
        <v>305</v>
      </c>
      <c r="G93" s="114"/>
      <c r="H93" s="109" t="str">
        <f ca="1">IF(ISNUMBER(_xll.BDP($J93,"BN_SURVEY_MEDIAN")),_xll.BDP($J93,"BN_SURVEY_MEDIAN"),"-")</f>
        <v>-</v>
      </c>
      <c r="I93" s="104" t="e">
        <f ca="1">_xll.BDP(J93,$N$4)</f>
        <v>#NAME?</v>
      </c>
      <c r="J93" s="111" t="s">
        <v>215</v>
      </c>
    </row>
    <row r="94" spans="2:10" x14ac:dyDescent="0.4">
      <c r="B94" s="104" t="e">
        <f ca="1">_xll.BDP(J94,"ECO_FUTURE_RELEASE_DATE")</f>
        <v>#NAME?</v>
      </c>
      <c r="C94" s="105" t="s">
        <v>192</v>
      </c>
      <c r="D94" s="106" t="s">
        <v>90</v>
      </c>
      <c r="E94" s="107" t="e">
        <f ca="1">_xll.BDP(J94,"OBSERVATION_PERIOD")</f>
        <v>#NAME?</v>
      </c>
      <c r="F94" s="108" t="s">
        <v>305</v>
      </c>
      <c r="G94" s="114"/>
      <c r="H94" s="109" t="str">
        <f ca="1">IF(ISNUMBER(_xll.BDP($J94,"BN_SURVEY_MEDIAN")),_xll.BDP($J94,"BN_SURVEY_MEDIAN"),"-")</f>
        <v>-</v>
      </c>
      <c r="I94" s="104" t="e">
        <f ca="1">_xll.BDP(J94,$N$4)</f>
        <v>#NAME?</v>
      </c>
      <c r="J94" s="107" t="s">
        <v>98</v>
      </c>
    </row>
    <row r="95" spans="2:10" x14ac:dyDescent="0.4">
      <c r="B95" s="104" t="e">
        <f ca="1">_xll.BDP(J95,"ECO_FUTURE_RELEASE_DATE")</f>
        <v>#NAME?</v>
      </c>
      <c r="C95" s="105" t="s">
        <v>192</v>
      </c>
      <c r="D95" s="106" t="s">
        <v>321</v>
      </c>
      <c r="E95" s="107" t="e">
        <f ca="1">_xll.BDP(J95,"OBSERVATION_PERIOD")</f>
        <v>#NAME?</v>
      </c>
      <c r="F95" s="108" t="s">
        <v>305</v>
      </c>
      <c r="G95" s="114"/>
      <c r="H95" s="109" t="str">
        <f ca="1">IF(ISNUMBER(_xll.BDP($J95,"BN_SURVEY_MEDIAN")),_xll.BDP($J95,"BN_SURVEY_MEDIAN"),"-")</f>
        <v>-</v>
      </c>
      <c r="I95" s="104" t="e">
        <f ca="1">_xll.BDP(J95,$N$4)</f>
        <v>#NAME?</v>
      </c>
      <c r="J95" s="107" t="s">
        <v>97</v>
      </c>
    </row>
    <row r="96" spans="2:10" x14ac:dyDescent="0.4">
      <c r="B96" s="104" t="e">
        <f ca="1">_xll.BDP(J96,"ECO_FUTURE_RELEASE_DATE")</f>
        <v>#NAME?</v>
      </c>
      <c r="C96" s="105" t="s">
        <v>192</v>
      </c>
      <c r="D96" s="106" t="s">
        <v>277</v>
      </c>
      <c r="E96" s="107" t="e">
        <f ca="1">_xll.BDP(J96,"OBSERVATION_PERIOD")</f>
        <v>#NAME?</v>
      </c>
      <c r="F96" s="108" t="s">
        <v>307</v>
      </c>
      <c r="G96" s="114"/>
      <c r="H96" s="109" t="str">
        <f ca="1">IF(ISNUMBER(_xll.BDP($J96,"BN_SURVEY_MEDIAN")),_xll.BDP($J96,"BN_SURVEY_MEDIAN"),"-")</f>
        <v>-</v>
      </c>
      <c r="I96" s="104" t="e">
        <f ca="1">_xll.BDP(J96,$N$4)</f>
        <v>#NAME?</v>
      </c>
      <c r="J96" s="107" t="s">
        <v>99</v>
      </c>
    </row>
    <row r="97" spans="2:10" x14ac:dyDescent="0.4">
      <c r="B97" s="104" t="e">
        <f ca="1">_xll.BDP(J97,"ECO_FUTURE_RELEASE_DATE")</f>
        <v>#NAME?</v>
      </c>
      <c r="C97" s="105" t="s">
        <v>192</v>
      </c>
      <c r="D97" s="106" t="s">
        <v>278</v>
      </c>
      <c r="E97" s="107" t="e">
        <f ca="1">_xll.BDP(J97,"OBSERVATION_PERIOD")</f>
        <v>#NAME?</v>
      </c>
      <c r="F97" s="108" t="s">
        <v>305</v>
      </c>
      <c r="G97" s="114"/>
      <c r="H97" s="109" t="str">
        <f ca="1">IF(ISNUMBER(_xll.BDP($J97,"BN_SURVEY_MEDIAN")),_xll.BDP($J97,"BN_SURVEY_MEDIAN"),"-")</f>
        <v>-</v>
      </c>
      <c r="I97" s="104" t="e">
        <f ca="1">_xll.BDP(J97,$N$4)</f>
        <v>#NAME?</v>
      </c>
      <c r="J97" s="107" t="s">
        <v>100</v>
      </c>
    </row>
    <row r="98" spans="2:10" x14ac:dyDescent="0.4">
      <c r="B98" s="104" t="e">
        <f ca="1">_xll.BDP(J98,"ECO_FUTURE_RELEASE_DATE")</f>
        <v>#NAME?</v>
      </c>
      <c r="C98" s="105" t="s">
        <v>322</v>
      </c>
      <c r="D98" s="106" t="s">
        <v>279</v>
      </c>
      <c r="E98" s="107" t="e">
        <f ca="1">_xll.BDP(J98,"OBSERVATION_PERIOD")</f>
        <v>#NAME?</v>
      </c>
      <c r="F98" s="108" t="s">
        <v>323</v>
      </c>
      <c r="G98" s="114"/>
      <c r="H98" s="109" t="str">
        <f ca="1">IF(ISNUMBER(_xll.BDP($J98,"BN_SURVEY_MEDIAN")),_xll.BDP($J98,"BN_SURVEY_MEDIAN"),"-")</f>
        <v>-</v>
      </c>
      <c r="I98" s="104" t="e">
        <f ca="1">_xll.BDP(J98,$N$4)</f>
        <v>#NAME?</v>
      </c>
      <c r="J98" s="107" t="s">
        <v>101</v>
      </c>
    </row>
    <row r="99" spans="2:10" x14ac:dyDescent="0.4">
      <c r="B99" s="104" t="e">
        <f ca="1">_xll.BDP(J99,"ECO_FUTURE_RELEASE_DATE")</f>
        <v>#NAME?</v>
      </c>
      <c r="C99" s="105" t="s">
        <v>192</v>
      </c>
      <c r="D99" s="106" t="s">
        <v>159</v>
      </c>
      <c r="E99" s="107" t="e">
        <f ca="1">_xll.BDP(J99,"OBSERVATION_PERIOD")</f>
        <v>#NAME?</v>
      </c>
      <c r="F99" s="108" t="s">
        <v>307</v>
      </c>
      <c r="G99" s="114"/>
      <c r="H99" s="109" t="str">
        <f ca="1">IF(ISNUMBER(_xll.BDP($J99,"BN_SURVEY_MEDIAN")),_xll.BDP($J99,"BN_SURVEY_MEDIAN"),"-")</f>
        <v>-</v>
      </c>
      <c r="I99" s="104" t="e">
        <f ca="1">_xll.BDP(J99,$N$4)</f>
        <v>#NAME?</v>
      </c>
      <c r="J99" s="107" t="s">
        <v>158</v>
      </c>
    </row>
    <row r="100" spans="2:10" x14ac:dyDescent="0.4">
      <c r="B100" s="104" t="e">
        <f ca="1">_xll.BDP(J100,"ECO_FUTURE_RELEASE_DATE")</f>
        <v>#NAME?</v>
      </c>
      <c r="C100" s="105" t="s">
        <v>192</v>
      </c>
      <c r="D100" s="106" t="s">
        <v>96</v>
      </c>
      <c r="E100" s="107" t="e">
        <f ca="1">_xll.BDP(J100,"OBSERVATION_PERIOD")</f>
        <v>#NAME?</v>
      </c>
      <c r="F100" s="108" t="s">
        <v>307</v>
      </c>
      <c r="G100" s="114"/>
      <c r="H100" s="109" t="str">
        <f ca="1">IF(ISNUMBER(_xll.BDP($J100,"BN_SURVEY_MEDIAN")),_xll.BDP($J100,"BN_SURVEY_MEDIAN"),"-")</f>
        <v>-</v>
      </c>
      <c r="I100" s="104" t="e">
        <f ca="1">_xll.BDP(J100,$N$4)</f>
        <v>#NAME?</v>
      </c>
      <c r="J100" s="107" t="s">
        <v>160</v>
      </c>
    </row>
    <row r="101" spans="2:10" x14ac:dyDescent="0.4">
      <c r="B101" s="104" t="e">
        <f ca="1">_xll.BDP(J101,"ECO_FUTURE_RELEASE_DATE")</f>
        <v>#NAME?</v>
      </c>
      <c r="C101" s="105" t="s">
        <v>192</v>
      </c>
      <c r="D101" s="105" t="s">
        <v>255</v>
      </c>
      <c r="E101" s="107" t="e">
        <f ca="1">_xll.BDP(J101,"OBSERVATION_PERIOD")</f>
        <v>#NAME?</v>
      </c>
      <c r="F101" s="115" t="s">
        <v>305</v>
      </c>
      <c r="G101" s="114"/>
      <c r="H101" s="109" t="str">
        <f ca="1">IF(ISNUMBER(_xll.BDP($J101,"BN_SURVEY_MEDIAN")),_xll.BDP($J101,"BN_SURVEY_MEDIAN"),"-")</f>
        <v>-</v>
      </c>
      <c r="I101" s="104" t="e">
        <f ca="1">_xll.BDP(J101,$N$4)</f>
        <v>#NAME?</v>
      </c>
      <c r="J101" s="111" t="s">
        <v>256</v>
      </c>
    </row>
    <row r="102" spans="2:10" x14ac:dyDescent="0.4">
      <c r="B102" s="104" t="e">
        <f ca="1">_xll.BDP(J102,"ECO_FUTURE_RELEASE_DATE")</f>
        <v>#NAME?</v>
      </c>
      <c r="C102" s="105" t="s">
        <v>192</v>
      </c>
      <c r="D102" s="105" t="s">
        <v>257</v>
      </c>
      <c r="E102" s="107" t="e">
        <f ca="1">_xll.BDP(J102,"OBSERVATION_PERIOD")</f>
        <v>#NAME?</v>
      </c>
      <c r="F102" s="115" t="s">
        <v>305</v>
      </c>
      <c r="G102" s="114"/>
      <c r="H102" s="109" t="str">
        <f ca="1">IF(ISNUMBER(_xll.BDP($J102,"BN_SURVEY_MEDIAN")),_xll.BDP($J102,"BN_SURVEY_MEDIAN"),"-")</f>
        <v>-</v>
      </c>
      <c r="I102" s="104" t="e">
        <f ca="1">_xll.BDP(J102,$N$4)</f>
        <v>#NAME?</v>
      </c>
      <c r="J102" s="111" t="s">
        <v>101</v>
      </c>
    </row>
    <row r="103" spans="2:10" x14ac:dyDescent="0.4">
      <c r="I103" s="103"/>
      <c r="J103" s="111"/>
    </row>
  </sheetData>
  <sortState ref="B5:J119">
    <sortCondition ref="B5:B119" customList="Jan,Feb,Mar,Apr,May,Jun,Jul,Aug,Sep,Oct,Nov,Dec"/>
  </sortSt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theme="0"/>
  </sheetPr>
  <dimension ref="C2:Q25"/>
  <sheetViews>
    <sheetView zoomScale="85" zoomScaleNormal="85" workbookViewId="0">
      <selection activeCell="X33" sqref="X33"/>
    </sheetView>
  </sheetViews>
  <sheetFormatPr defaultRowHeight="17" x14ac:dyDescent="0.4"/>
  <cols>
    <col min="1" max="2" width="8.7265625" style="158"/>
    <col min="3" max="3" width="8.81640625" style="157" bestFit="1" customWidth="1"/>
    <col min="4" max="4" width="8.54296875" style="157" bestFit="1" customWidth="1"/>
    <col min="5" max="5" width="8.81640625" style="157" bestFit="1" customWidth="1"/>
    <col min="6" max="6" width="8.7265625" style="158"/>
    <col min="7" max="7" width="10.08984375" style="158" bestFit="1" customWidth="1"/>
    <col min="8" max="11" width="8.7265625" style="158"/>
    <col min="12" max="13" width="9.6328125" style="158" bestFit="1" customWidth="1"/>
    <col min="14" max="14" width="8.7265625" style="158"/>
    <col min="15" max="15" width="14.08984375" style="158" bestFit="1" customWidth="1"/>
    <col min="16" max="16384" width="8.7265625" style="158"/>
  </cols>
  <sheetData>
    <row r="2" spans="3:17" x14ac:dyDescent="0.4">
      <c r="G2" s="164"/>
      <c r="H2" s="165"/>
      <c r="I2" s="165"/>
      <c r="J2" s="238" t="s">
        <v>526</v>
      </c>
      <c r="K2" s="238"/>
      <c r="L2" s="239" t="s">
        <v>527</v>
      </c>
      <c r="M2" s="240"/>
      <c r="O2" s="179" t="s">
        <v>531</v>
      </c>
      <c r="P2" s="179" t="s">
        <v>530</v>
      </c>
      <c r="Q2" s="177" t="s">
        <v>533</v>
      </c>
    </row>
    <row r="3" spans="3:17" x14ac:dyDescent="0.4">
      <c r="C3" s="159" t="s">
        <v>523</v>
      </c>
      <c r="D3" s="160" t="s">
        <v>524</v>
      </c>
      <c r="E3" s="161" t="s">
        <v>525</v>
      </c>
      <c r="G3" s="166" t="s">
        <v>7</v>
      </c>
      <c r="H3" s="14" t="s">
        <v>0</v>
      </c>
      <c r="I3" s="14" t="s">
        <v>1</v>
      </c>
      <c r="J3" s="31" t="s">
        <v>23</v>
      </c>
      <c r="K3" s="31" t="s">
        <v>29</v>
      </c>
      <c r="L3" s="31" t="s">
        <v>23</v>
      </c>
      <c r="M3" s="167" t="s">
        <v>29</v>
      </c>
      <c r="O3" s="178" t="s">
        <v>363</v>
      </c>
      <c r="P3" s="178">
        <v>0.1</v>
      </c>
      <c r="Q3" s="178" t="s">
        <v>363</v>
      </c>
    </row>
    <row r="4" spans="3:17" x14ac:dyDescent="0.4">
      <c r="C4" s="153" t="s">
        <v>284</v>
      </c>
      <c r="D4" s="152" t="s">
        <v>363</v>
      </c>
      <c r="E4" s="154" t="s">
        <v>288</v>
      </c>
      <c r="G4" s="168" t="s">
        <v>26</v>
      </c>
      <c r="H4" s="44">
        <v>1.1625399999999999</v>
      </c>
      <c r="I4" s="44">
        <v>1.16283</v>
      </c>
      <c r="J4" s="21">
        <v>2.25</v>
      </c>
      <c r="K4" s="21">
        <v>-9.6</v>
      </c>
      <c r="L4" s="21">
        <f>J4</f>
        <v>2.25</v>
      </c>
      <c r="M4" s="169">
        <f>K4</f>
        <v>-9.6</v>
      </c>
      <c r="O4" s="178" t="s">
        <v>371</v>
      </c>
      <c r="P4" s="178">
        <v>0.2</v>
      </c>
      <c r="Q4" s="178" t="s">
        <v>371</v>
      </c>
    </row>
    <row r="5" spans="3:17" x14ac:dyDescent="0.4">
      <c r="C5" s="155" t="s">
        <v>289</v>
      </c>
      <c r="D5" s="152" t="s">
        <v>368</v>
      </c>
      <c r="E5" s="154" t="s">
        <v>289</v>
      </c>
      <c r="G5" s="168" t="s">
        <v>2</v>
      </c>
      <c r="H5" s="19">
        <v>0.78859999999999997</v>
      </c>
      <c r="I5" s="44">
        <v>0.78888000000000003</v>
      </c>
      <c r="J5" s="21">
        <v>-2.9499999999999997</v>
      </c>
      <c r="K5" s="21">
        <v>0.35000000000000003</v>
      </c>
      <c r="L5" s="21">
        <f t="shared" ref="L5:M7" si="0">J5</f>
        <v>-2.9499999999999997</v>
      </c>
      <c r="M5" s="169">
        <f t="shared" si="0"/>
        <v>0.35000000000000003</v>
      </c>
      <c r="O5" s="178" t="s">
        <v>364</v>
      </c>
      <c r="P5" s="178">
        <v>0.3</v>
      </c>
      <c r="Q5" s="178" t="s">
        <v>364</v>
      </c>
    </row>
    <row r="6" spans="3:17" x14ac:dyDescent="0.4">
      <c r="C6" s="155" t="s">
        <v>283</v>
      </c>
      <c r="D6" s="152" t="s">
        <v>369</v>
      </c>
      <c r="E6" s="154" t="s">
        <v>290</v>
      </c>
      <c r="G6" s="168" t="s">
        <v>3</v>
      </c>
      <c r="H6" s="44">
        <v>1.29644</v>
      </c>
      <c r="I6" s="44">
        <v>1.2968200000000001</v>
      </c>
      <c r="J6" s="21">
        <v>1.55</v>
      </c>
      <c r="K6" s="21">
        <v>-7.35</v>
      </c>
      <c r="L6" s="21">
        <f t="shared" si="0"/>
        <v>1.55</v>
      </c>
      <c r="M6" s="169">
        <f t="shared" si="0"/>
        <v>-7.35</v>
      </c>
      <c r="O6" s="178" t="s">
        <v>365</v>
      </c>
      <c r="P6" s="178">
        <v>0.4</v>
      </c>
      <c r="Q6" s="178" t="s">
        <v>365</v>
      </c>
    </row>
    <row r="7" spans="3:17" x14ac:dyDescent="0.4">
      <c r="C7" s="155" t="s">
        <v>179</v>
      </c>
      <c r="D7" s="152" t="s">
        <v>364</v>
      </c>
      <c r="E7" s="154" t="s">
        <v>373</v>
      </c>
      <c r="G7" s="168" t="s">
        <v>4</v>
      </c>
      <c r="H7" s="44">
        <v>0.74141000000000001</v>
      </c>
      <c r="I7" s="44">
        <v>0.74172000000000005</v>
      </c>
      <c r="J7" s="21">
        <v>0.25</v>
      </c>
      <c r="K7" s="21">
        <v>0.255</v>
      </c>
      <c r="L7" s="21">
        <f t="shared" si="0"/>
        <v>0.25</v>
      </c>
      <c r="M7" s="169">
        <f t="shared" si="0"/>
        <v>0.255</v>
      </c>
      <c r="O7" s="178" t="s">
        <v>366</v>
      </c>
      <c r="P7" s="178">
        <v>0.5</v>
      </c>
      <c r="Q7" s="178" t="s">
        <v>366</v>
      </c>
    </row>
    <row r="8" spans="3:17" x14ac:dyDescent="0.4">
      <c r="C8" s="155" t="s">
        <v>297</v>
      </c>
      <c r="D8" s="152" t="s">
        <v>365</v>
      </c>
      <c r="E8" s="154" t="s">
        <v>283</v>
      </c>
      <c r="G8" s="168" t="s">
        <v>5</v>
      </c>
      <c r="H8" s="44">
        <v>111.935</v>
      </c>
      <c r="I8" s="44">
        <v>111.962</v>
      </c>
      <c r="J8" s="21">
        <v>-8.1</v>
      </c>
      <c r="K8" s="21">
        <v>1.7999999999999998</v>
      </c>
      <c r="L8" s="21">
        <f>J8/I8</f>
        <v>-7.2345974527071685E-2</v>
      </c>
      <c r="M8" s="169">
        <f>K8/I8</f>
        <v>1.6076883228238151E-2</v>
      </c>
      <c r="O8" s="178" t="s">
        <v>367</v>
      </c>
      <c r="P8" s="178">
        <v>0.6</v>
      </c>
      <c r="Q8" s="178" t="s">
        <v>367</v>
      </c>
    </row>
    <row r="9" spans="3:17" x14ac:dyDescent="0.4">
      <c r="C9" s="155" t="s">
        <v>161</v>
      </c>
      <c r="D9" s="152" t="s">
        <v>366</v>
      </c>
      <c r="E9" s="154" t="s">
        <v>291</v>
      </c>
      <c r="G9" s="168" t="s">
        <v>9</v>
      </c>
      <c r="H9" s="44">
        <v>6.7610299999999999</v>
      </c>
      <c r="I9" s="44">
        <v>6.7628899999999996</v>
      </c>
      <c r="J9" s="21">
        <v>-1.7000000000000002</v>
      </c>
      <c r="K9" s="21">
        <v>-58.8</v>
      </c>
      <c r="L9" s="21">
        <f t="shared" ref="L9:L10" si="1">J9/I9</f>
        <v>-0.25137182476722236</v>
      </c>
      <c r="M9" s="169">
        <f t="shared" ref="M9:M10" si="2">K9/I9</f>
        <v>-8.6945078213603946</v>
      </c>
      <c r="O9" s="178" t="s">
        <v>368</v>
      </c>
      <c r="P9" s="178">
        <v>0.7</v>
      </c>
      <c r="Q9" s="178" t="s">
        <v>368</v>
      </c>
    </row>
    <row r="10" spans="3:17" x14ac:dyDescent="0.4">
      <c r="C10" s="155" t="s">
        <v>282</v>
      </c>
      <c r="D10" s="152" t="s">
        <v>367</v>
      </c>
      <c r="E10" s="154" t="s">
        <v>292</v>
      </c>
      <c r="G10" s="168" t="s">
        <v>18</v>
      </c>
      <c r="H10" s="44">
        <v>1.25898</v>
      </c>
      <c r="I10" s="44">
        <v>1.25939</v>
      </c>
      <c r="J10" s="21">
        <v>-5.25</v>
      </c>
      <c r="K10" s="21">
        <v>0.65</v>
      </c>
      <c r="L10" s="21">
        <f t="shared" si="1"/>
        <v>-4.1686848394857829</v>
      </c>
      <c r="M10" s="169">
        <f t="shared" si="2"/>
        <v>0.51612288488871594</v>
      </c>
      <c r="O10" s="178" t="s">
        <v>369</v>
      </c>
      <c r="P10" s="178">
        <v>0.8</v>
      </c>
      <c r="Q10" s="178" t="s">
        <v>369</v>
      </c>
    </row>
    <row r="11" spans="3:17" x14ac:dyDescent="0.4">
      <c r="C11" s="155" t="s">
        <v>288</v>
      </c>
      <c r="D11" s="152" t="s">
        <v>371</v>
      </c>
      <c r="E11" s="154" t="s">
        <v>293</v>
      </c>
      <c r="G11" s="168" t="s">
        <v>10</v>
      </c>
      <c r="H11" s="44">
        <v>130.154</v>
      </c>
      <c r="I11" s="44">
        <v>130.19200000000001</v>
      </c>
      <c r="J11" s="21">
        <v>0</v>
      </c>
      <c r="K11" s="21">
        <v>-2.9000000000000004</v>
      </c>
      <c r="L11" s="21">
        <f>J11/I8</f>
        <v>0</v>
      </c>
      <c r="M11" s="169">
        <f>K11/I8</f>
        <v>-2.5901645201050358E-2</v>
      </c>
      <c r="O11"/>
      <c r="P11" s="178">
        <v>0.9</v>
      </c>
    </row>
    <row r="12" spans="3:17" x14ac:dyDescent="0.4">
      <c r="C12" s="155" t="s">
        <v>292</v>
      </c>
      <c r="D12" s="152"/>
      <c r="E12" s="154" t="s">
        <v>179</v>
      </c>
      <c r="G12" s="168" t="s">
        <v>11</v>
      </c>
      <c r="H12" s="44">
        <v>1.47251</v>
      </c>
      <c r="I12" s="19">
        <v>1.4743999999999999</v>
      </c>
      <c r="J12" s="21">
        <v>3.75</v>
      </c>
      <c r="K12" s="21">
        <v>-17.95</v>
      </c>
      <c r="L12" s="21">
        <f>J12*$H$5</f>
        <v>2.9572499999999997</v>
      </c>
      <c r="M12" s="169">
        <f>K12*$H$5</f>
        <v>-14.15537</v>
      </c>
      <c r="O12"/>
      <c r="P12" s="178">
        <v>1</v>
      </c>
    </row>
    <row r="13" spans="3:17" x14ac:dyDescent="0.4">
      <c r="C13" s="155" t="s">
        <v>296</v>
      </c>
      <c r="D13" s="152"/>
      <c r="E13" s="154" t="s">
        <v>294</v>
      </c>
      <c r="G13" s="170" t="s">
        <v>12</v>
      </c>
      <c r="H13" s="44">
        <v>1.46183</v>
      </c>
      <c r="I13" s="44">
        <v>1.46313</v>
      </c>
      <c r="J13" s="21">
        <v>1.5</v>
      </c>
      <c r="K13" s="21">
        <v>-8.25</v>
      </c>
      <c r="L13" s="21">
        <f>J13/$I$10</f>
        <v>1.1910528112816523</v>
      </c>
      <c r="M13" s="169">
        <f>K13/$I$10</f>
        <v>-6.5507904620490871</v>
      </c>
    </row>
    <row r="14" spans="3:17" x14ac:dyDescent="0.4">
      <c r="C14" s="155" t="s">
        <v>281</v>
      </c>
      <c r="D14" s="152"/>
      <c r="E14" s="154" t="s">
        <v>372</v>
      </c>
      <c r="G14" s="168" t="s">
        <v>13</v>
      </c>
      <c r="H14" s="44">
        <v>0.89690999999999999</v>
      </c>
      <c r="I14" s="44">
        <v>0.89768000000000003</v>
      </c>
      <c r="J14" s="21">
        <v>0.4</v>
      </c>
      <c r="K14" s="21">
        <v>-3.25</v>
      </c>
      <c r="L14" s="21">
        <f>J14*$H$6</f>
        <v>0.51857600000000004</v>
      </c>
      <c r="M14" s="169">
        <f>K14*$H$6</f>
        <v>-4.2134299999999998</v>
      </c>
    </row>
    <row r="15" spans="3:17" x14ac:dyDescent="0.4">
      <c r="C15" s="155" t="s">
        <v>18</v>
      </c>
      <c r="D15" s="152"/>
      <c r="E15" s="154" t="s">
        <v>295</v>
      </c>
      <c r="G15" s="170" t="s">
        <v>14</v>
      </c>
      <c r="H15" s="44">
        <v>1.56291</v>
      </c>
      <c r="I15" s="44">
        <v>1.56569</v>
      </c>
      <c r="J15" s="21">
        <v>4</v>
      </c>
      <c r="K15" s="21">
        <v>-19.5</v>
      </c>
      <c r="L15" s="21">
        <f>J15*$H$7</f>
        <v>2.9656400000000001</v>
      </c>
      <c r="M15" s="169">
        <f>K15*$H$7</f>
        <v>-14.457495</v>
      </c>
    </row>
    <row r="16" spans="3:17" x14ac:dyDescent="0.4">
      <c r="C16" s="155" t="s">
        <v>290</v>
      </c>
      <c r="D16" s="152"/>
      <c r="E16" s="154" t="s">
        <v>296</v>
      </c>
      <c r="G16" s="168" t="s">
        <v>27</v>
      </c>
      <c r="H16" s="44">
        <v>1.0606100000000001</v>
      </c>
      <c r="I16" s="44">
        <v>1.0628299999999999</v>
      </c>
      <c r="J16" s="21">
        <v>-2.25</v>
      </c>
      <c r="K16" s="21">
        <v>-1.05</v>
      </c>
      <c r="L16" s="21">
        <f>J16*$H$7</f>
        <v>-1.6681725000000001</v>
      </c>
      <c r="M16" s="169">
        <f>K16*$H$7</f>
        <v>-0.77848050000000002</v>
      </c>
    </row>
    <row r="17" spans="3:13" x14ac:dyDescent="0.4">
      <c r="C17" s="155" t="s">
        <v>294</v>
      </c>
      <c r="D17" s="152"/>
      <c r="E17" s="154" t="s">
        <v>297</v>
      </c>
      <c r="G17" s="168" t="s">
        <v>529</v>
      </c>
      <c r="H17" s="44">
        <v>88.364000000000004</v>
      </c>
      <c r="I17" s="67">
        <v>88.4</v>
      </c>
      <c r="J17" s="21">
        <v>-10.25</v>
      </c>
      <c r="K17" s="21">
        <v>1.8499999999999999</v>
      </c>
      <c r="L17" s="21"/>
      <c r="M17" s="169"/>
    </row>
    <row r="18" spans="3:13" x14ac:dyDescent="0.4">
      <c r="C18" s="155" t="s">
        <v>298</v>
      </c>
      <c r="D18" s="152"/>
      <c r="E18" s="154" t="s">
        <v>298</v>
      </c>
      <c r="G18" s="171" t="s">
        <v>19</v>
      </c>
      <c r="H18" s="44">
        <v>0.99187000000000003</v>
      </c>
      <c r="I18" s="44">
        <v>0.99333000000000005</v>
      </c>
      <c r="J18" s="21">
        <v>-7.6499999999999995</v>
      </c>
      <c r="K18" s="21">
        <v>1.2</v>
      </c>
      <c r="L18" s="21"/>
      <c r="M18" s="169"/>
    </row>
    <row r="19" spans="3:13" x14ac:dyDescent="0.4">
      <c r="C19" s="155" t="s">
        <v>291</v>
      </c>
      <c r="D19" s="152"/>
      <c r="E19" s="154" t="s">
        <v>374</v>
      </c>
      <c r="G19" s="168" t="s">
        <v>15</v>
      </c>
      <c r="H19" s="44">
        <v>1.64039</v>
      </c>
      <c r="I19" s="44">
        <v>1.6433800000000001</v>
      </c>
      <c r="J19" s="21">
        <v>2.9499999999999997</v>
      </c>
      <c r="K19" s="21">
        <v>-15.85</v>
      </c>
      <c r="L19" s="21"/>
      <c r="M19" s="169"/>
    </row>
    <row r="20" spans="3:13" x14ac:dyDescent="0.4">
      <c r="C20" s="155" t="s">
        <v>295</v>
      </c>
      <c r="D20" s="152"/>
      <c r="E20" s="154" t="s">
        <v>281</v>
      </c>
      <c r="G20" s="170" t="s">
        <v>20</v>
      </c>
      <c r="H20" s="44">
        <v>1.62869</v>
      </c>
      <c r="I20" s="44">
        <v>1.6210100000000001</v>
      </c>
      <c r="J20" s="21">
        <v>0.5</v>
      </c>
      <c r="K20" s="21">
        <v>-4.95</v>
      </c>
      <c r="L20" s="21"/>
      <c r="M20" s="169"/>
    </row>
    <row r="21" spans="3:13" x14ac:dyDescent="0.4">
      <c r="C21" s="155" t="s">
        <v>293</v>
      </c>
      <c r="D21" s="152"/>
      <c r="E21" s="154" t="s">
        <v>282</v>
      </c>
      <c r="G21" s="168" t="s">
        <v>17</v>
      </c>
      <c r="H21" s="44">
        <v>144.34700000000001</v>
      </c>
      <c r="I21" s="44">
        <v>144.535</v>
      </c>
      <c r="J21" s="21">
        <v>-4.05</v>
      </c>
      <c r="K21" s="21">
        <v>0.25</v>
      </c>
      <c r="L21" s="21"/>
      <c r="M21" s="169"/>
    </row>
    <row r="22" spans="3:13" x14ac:dyDescent="0.4">
      <c r="C22" s="155" t="s">
        <v>9</v>
      </c>
      <c r="D22" s="152"/>
      <c r="E22" s="154" t="s">
        <v>375</v>
      </c>
      <c r="G22" s="170" t="s">
        <v>16</v>
      </c>
      <c r="H22" s="44">
        <v>1.74095</v>
      </c>
      <c r="I22" s="44">
        <v>1.74519</v>
      </c>
      <c r="J22" s="21">
        <v>3.25</v>
      </c>
      <c r="K22" s="21">
        <v>-16.5</v>
      </c>
      <c r="L22" s="21"/>
      <c r="M22" s="169"/>
    </row>
    <row r="23" spans="3:13" x14ac:dyDescent="0.4">
      <c r="C23" s="155"/>
      <c r="D23" s="152"/>
      <c r="E23" s="154" t="s">
        <v>377</v>
      </c>
      <c r="G23" s="170" t="s">
        <v>21</v>
      </c>
      <c r="H23" s="19">
        <v>0.93420000000000003</v>
      </c>
      <c r="I23" s="44">
        <v>0.93577999999999995</v>
      </c>
      <c r="J23" s="21">
        <v>-7.35</v>
      </c>
      <c r="K23" s="21">
        <v>1.05</v>
      </c>
      <c r="L23" s="21"/>
      <c r="M23" s="169"/>
    </row>
    <row r="24" spans="3:13" x14ac:dyDescent="0.4">
      <c r="C24" s="155"/>
      <c r="D24" s="152"/>
      <c r="E24" s="154" t="s">
        <v>361</v>
      </c>
      <c r="G24" s="168" t="s">
        <v>22</v>
      </c>
      <c r="H24" s="44">
        <v>82.790999999999997</v>
      </c>
      <c r="I24" s="44">
        <v>82.942999999999998</v>
      </c>
      <c r="J24" s="21">
        <v>-8.85</v>
      </c>
      <c r="K24" s="21">
        <v>1.7500000000000002</v>
      </c>
      <c r="L24" s="21"/>
      <c r="M24" s="169"/>
    </row>
    <row r="25" spans="3:13" x14ac:dyDescent="0.4">
      <c r="C25" s="162"/>
      <c r="D25" s="163"/>
      <c r="E25" s="156" t="s">
        <v>376</v>
      </c>
      <c r="G25" s="172" t="s">
        <v>24</v>
      </c>
      <c r="H25" s="173">
        <v>88.326999999999998</v>
      </c>
      <c r="I25" s="173">
        <v>88.366</v>
      </c>
      <c r="J25" s="174">
        <v>-4.1500000000000004</v>
      </c>
      <c r="K25" s="174">
        <v>0.65</v>
      </c>
      <c r="L25" s="175"/>
      <c r="M25" s="176"/>
    </row>
  </sheetData>
  <mergeCells count="2">
    <mergeCell ref="J2:K2"/>
    <mergeCell ref="L2:M2"/>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theme="0"/>
  </sheetPr>
  <dimension ref="B2:M32"/>
  <sheetViews>
    <sheetView zoomScale="55" zoomScaleNormal="55" workbookViewId="0">
      <selection activeCell="Q34" sqref="Q34"/>
    </sheetView>
  </sheetViews>
  <sheetFormatPr defaultRowHeight="17" x14ac:dyDescent="0.4"/>
  <cols>
    <col min="10" max="10" width="10" bestFit="1" customWidth="1"/>
  </cols>
  <sheetData>
    <row r="2" spans="2:13" ht="17.5" thickBot="1" x14ac:dyDescent="0.45"/>
    <row r="3" spans="2:13" x14ac:dyDescent="0.4">
      <c r="B3" s="65" t="s">
        <v>7</v>
      </c>
      <c r="C3" s="14" t="s">
        <v>163</v>
      </c>
      <c r="D3" s="14" t="s">
        <v>1</v>
      </c>
      <c r="E3" s="31" t="s">
        <v>164</v>
      </c>
      <c r="F3" s="31" t="s">
        <v>29</v>
      </c>
      <c r="I3" s="137" t="s">
        <v>6</v>
      </c>
      <c r="J3" s="18">
        <f ca="1">TODAY()</f>
        <v>42977</v>
      </c>
      <c r="K3" s="20">
        <f ca="1">NOW()</f>
        <v>42977.681774537035</v>
      </c>
      <c r="L3" s="46">
        <f ca="1">WEEKDAY(TODAY())</f>
        <v>4</v>
      </c>
      <c r="M3" s="16"/>
    </row>
    <row r="4" spans="2:13" x14ac:dyDescent="0.4">
      <c r="B4" s="8" t="s">
        <v>26</v>
      </c>
      <c r="C4" s="44">
        <v>1.1625399999999999</v>
      </c>
      <c r="D4" s="44">
        <v>1.16283</v>
      </c>
      <c r="E4" s="21">
        <v>2.25</v>
      </c>
      <c r="F4" s="21">
        <v>-9.6</v>
      </c>
      <c r="I4" s="138"/>
      <c r="J4" s="53"/>
      <c r="K4" s="54"/>
      <c r="L4" s="55"/>
      <c r="M4" s="17"/>
    </row>
    <row r="5" spans="2:13" x14ac:dyDescent="0.4">
      <c r="B5" s="8" t="s">
        <v>2</v>
      </c>
      <c r="C5" s="19">
        <v>0.78859999999999997</v>
      </c>
      <c r="D5" s="44">
        <v>0.78888000000000003</v>
      </c>
      <c r="E5" s="21">
        <v>-2.9499999999999997</v>
      </c>
      <c r="F5" s="21">
        <v>0.35000000000000003</v>
      </c>
      <c r="I5" s="139" t="s">
        <v>46</v>
      </c>
      <c r="J5" s="235" t="s">
        <v>44</v>
      </c>
      <c r="K5" s="235"/>
      <c r="L5" s="236" t="s">
        <v>36</v>
      </c>
      <c r="M5" s="236"/>
    </row>
    <row r="6" spans="2:13" x14ac:dyDescent="0.4">
      <c r="B6" s="8" t="s">
        <v>3</v>
      </c>
      <c r="C6" s="44">
        <v>1.29644</v>
      </c>
      <c r="D6" s="44">
        <v>1.2968200000000001</v>
      </c>
      <c r="E6" s="21">
        <v>1.55</v>
      </c>
      <c r="F6" s="21">
        <v>-7.35</v>
      </c>
      <c r="I6" s="123" t="s">
        <v>7</v>
      </c>
      <c r="J6" s="14" t="s">
        <v>0</v>
      </c>
      <c r="K6" s="14" t="s">
        <v>1</v>
      </c>
      <c r="L6" s="31" t="s">
        <v>23</v>
      </c>
      <c r="M6" s="31" t="s">
        <v>29</v>
      </c>
    </row>
    <row r="7" spans="2:13" x14ac:dyDescent="0.4">
      <c r="B7" s="8" t="s">
        <v>4</v>
      </c>
      <c r="C7" s="44">
        <v>0.74141000000000001</v>
      </c>
      <c r="D7" s="44">
        <v>0.74172000000000005</v>
      </c>
      <c r="E7" s="21">
        <v>0.25</v>
      </c>
      <c r="F7" s="21">
        <v>0.255</v>
      </c>
      <c r="I7" s="8" t="s">
        <v>26</v>
      </c>
      <c r="J7" s="44" t="e">
        <f>[1]!EUR.102</f>
        <v>#REF!</v>
      </c>
      <c r="K7" s="44" t="e">
        <f>[1]!EUR.101</f>
        <v>#REF!</v>
      </c>
      <c r="L7" s="21">
        <v>2.25</v>
      </c>
      <c r="M7" s="21">
        <v>-9.6</v>
      </c>
    </row>
    <row r="8" spans="2:13" x14ac:dyDescent="0.4">
      <c r="B8" s="9" t="s">
        <v>161</v>
      </c>
      <c r="C8" s="44">
        <v>111.935</v>
      </c>
      <c r="D8" s="44">
        <v>111.962</v>
      </c>
      <c r="E8" s="21">
        <v>-8.1</v>
      </c>
      <c r="F8" s="21">
        <v>1.7999999999999998</v>
      </c>
      <c r="I8" s="8" t="s">
        <v>2</v>
      </c>
      <c r="J8" s="19" t="e">
        <f>[1]!AUD.102</f>
        <v>#REF!</v>
      </c>
      <c r="K8" s="44" t="e">
        <f>[1]!AUD.101</f>
        <v>#REF!</v>
      </c>
      <c r="L8" s="21">
        <v>-2.9499999999999997</v>
      </c>
      <c r="M8" s="21">
        <v>0.35000000000000003</v>
      </c>
    </row>
    <row r="9" spans="2:13" x14ac:dyDescent="0.4">
      <c r="B9" s="9" t="s">
        <v>9</v>
      </c>
      <c r="C9" s="44">
        <v>6.7610299999999999</v>
      </c>
      <c r="D9" s="44">
        <v>6.7628899999999996</v>
      </c>
      <c r="E9" s="21">
        <v>-1.7000000000000002</v>
      </c>
      <c r="F9" s="21">
        <v>-58.8</v>
      </c>
      <c r="I9" s="8" t="s">
        <v>3</v>
      </c>
      <c r="J9" s="44" t="e">
        <f>[1]!GBP.102</f>
        <v>#REF!</v>
      </c>
      <c r="K9" s="44" t="e">
        <f>[1]!GBP.101</f>
        <v>#REF!</v>
      </c>
      <c r="L9" s="21">
        <v>1.55</v>
      </c>
      <c r="M9" s="21">
        <v>-7.35</v>
      </c>
    </row>
    <row r="10" spans="2:13" x14ac:dyDescent="0.4">
      <c r="B10" s="9" t="s">
        <v>18</v>
      </c>
      <c r="C10" s="44">
        <v>1.25898</v>
      </c>
      <c r="D10" s="44">
        <v>1.25939</v>
      </c>
      <c r="E10" s="21">
        <v>-5.25</v>
      </c>
      <c r="F10" s="21">
        <v>0.65</v>
      </c>
      <c r="I10" s="8" t="s">
        <v>4</v>
      </c>
      <c r="J10" s="44" t="e">
        <f>[1]!NZD.102</f>
        <v>#REF!</v>
      </c>
      <c r="K10" s="44" t="e">
        <f>[1]!NZD.101</f>
        <v>#REF!</v>
      </c>
      <c r="L10" s="21">
        <v>0.25</v>
      </c>
      <c r="M10" s="21">
        <v>0.255</v>
      </c>
    </row>
    <row r="11" spans="2:13" x14ac:dyDescent="0.4">
      <c r="B11" s="10" t="s">
        <v>162</v>
      </c>
      <c r="C11" s="44">
        <v>130.154</v>
      </c>
      <c r="D11" s="44">
        <v>130.19200000000001</v>
      </c>
      <c r="E11" s="21">
        <v>0</v>
      </c>
      <c r="F11" s="21">
        <v>-2.9000000000000004</v>
      </c>
      <c r="I11" s="9" t="s">
        <v>5</v>
      </c>
      <c r="J11" s="44" t="e">
        <f>[1]!JPY.102</f>
        <v>#REF!</v>
      </c>
      <c r="K11" s="44" t="e">
        <f>[1]!JPY.101</f>
        <v>#REF!</v>
      </c>
      <c r="L11" s="21">
        <v>-8.1</v>
      </c>
      <c r="M11" s="21">
        <v>1.7999999999999998</v>
      </c>
    </row>
    <row r="12" spans="2:13" x14ac:dyDescent="0.4">
      <c r="B12" s="10" t="s">
        <v>11</v>
      </c>
      <c r="C12" s="44">
        <v>1.47251</v>
      </c>
      <c r="D12" s="19">
        <v>1.4743999999999999</v>
      </c>
      <c r="E12" s="21">
        <v>3.75</v>
      </c>
      <c r="F12" s="21">
        <v>-17.95</v>
      </c>
      <c r="I12" s="9" t="s">
        <v>9</v>
      </c>
      <c r="J12" s="44" t="e">
        <f>[1]!CNY.102</f>
        <v>#REF!</v>
      </c>
      <c r="K12" s="44" t="e">
        <f>[1]!CNY.101</f>
        <v>#REF!</v>
      </c>
      <c r="L12" s="21">
        <v>-1.7000000000000002</v>
      </c>
      <c r="M12" s="21">
        <v>-58.8</v>
      </c>
    </row>
    <row r="13" spans="2:13" x14ac:dyDescent="0.4">
      <c r="B13" s="27" t="s">
        <v>12</v>
      </c>
      <c r="C13" s="44">
        <v>1.46183</v>
      </c>
      <c r="D13" s="44">
        <v>1.46313</v>
      </c>
      <c r="E13" s="21">
        <v>1.5</v>
      </c>
      <c r="F13" s="21">
        <v>-8.25</v>
      </c>
      <c r="I13" s="9" t="s">
        <v>18</v>
      </c>
      <c r="J13" s="44" t="e">
        <f>[1]!CAD.102</f>
        <v>#REF!</v>
      </c>
      <c r="K13" s="44" t="e">
        <f>[1]!CAD.101</f>
        <v>#REF!</v>
      </c>
      <c r="L13" s="21">
        <v>-5.25</v>
      </c>
      <c r="M13" s="21">
        <v>0.65</v>
      </c>
    </row>
    <row r="14" spans="2:13" x14ac:dyDescent="0.4">
      <c r="B14" s="10" t="s">
        <v>165</v>
      </c>
      <c r="C14" s="44">
        <v>0.89690999999999999</v>
      </c>
      <c r="D14" s="44">
        <v>0.89768000000000003</v>
      </c>
      <c r="E14" s="21">
        <v>0.4</v>
      </c>
      <c r="F14" s="21">
        <v>-3.25</v>
      </c>
      <c r="I14" s="10" t="s">
        <v>10</v>
      </c>
      <c r="J14" s="44" t="e">
        <f>[1]!EURJPY.102</f>
        <v>#REF!</v>
      </c>
      <c r="K14" s="44" t="e">
        <f>[1]!EURJPY.101</f>
        <v>#REF!</v>
      </c>
      <c r="L14" s="21">
        <v>0</v>
      </c>
      <c r="M14" s="21">
        <v>-2.9000000000000004</v>
      </c>
    </row>
    <row r="15" spans="2:13" x14ac:dyDescent="0.4">
      <c r="B15" s="27" t="s">
        <v>166</v>
      </c>
      <c r="C15" s="44">
        <v>1.56291</v>
      </c>
      <c r="D15" s="44">
        <v>1.56569</v>
      </c>
      <c r="E15" s="21">
        <v>4</v>
      </c>
      <c r="F15" s="21">
        <v>-19.5</v>
      </c>
      <c r="I15" s="10" t="s">
        <v>11</v>
      </c>
      <c r="J15" s="44" t="e">
        <f>[1]!EURAUD.102</f>
        <v>#REF!</v>
      </c>
      <c r="K15" s="19" t="e">
        <f>[1]!EURAUD.101</f>
        <v>#REF!</v>
      </c>
      <c r="L15" s="21">
        <v>3.75</v>
      </c>
      <c r="M15" s="21">
        <v>-17.95</v>
      </c>
    </row>
    <row r="16" spans="2:13" x14ac:dyDescent="0.4">
      <c r="B16" s="66" t="s">
        <v>167</v>
      </c>
      <c r="C16" s="44">
        <v>1.0606100000000001</v>
      </c>
      <c r="D16" s="44">
        <v>1.0628299999999999</v>
      </c>
      <c r="E16" s="21">
        <v>-2.25</v>
      </c>
      <c r="F16" s="21">
        <v>-1.05</v>
      </c>
      <c r="I16" s="27" t="s">
        <v>12</v>
      </c>
      <c r="J16" s="44">
        <v>1.46183</v>
      </c>
      <c r="K16" s="44">
        <v>1.46313</v>
      </c>
      <c r="L16" s="21">
        <v>1.5</v>
      </c>
      <c r="M16" s="21">
        <v>-8.25</v>
      </c>
    </row>
    <row r="17" spans="2:13" x14ac:dyDescent="0.4">
      <c r="B17" s="66" t="s">
        <v>168</v>
      </c>
      <c r="C17" s="44">
        <v>88.364000000000004</v>
      </c>
      <c r="D17" s="67">
        <v>88.4</v>
      </c>
      <c r="E17" s="21">
        <v>-10.25</v>
      </c>
      <c r="F17" s="21">
        <v>1.8499999999999999</v>
      </c>
      <c r="I17" s="10" t="s">
        <v>13</v>
      </c>
      <c r="J17" s="44" t="e">
        <f>[1]!EURGBP.102</f>
        <v>#REF!</v>
      </c>
      <c r="K17" s="44" t="e">
        <f>[1]!EURGBP.101</f>
        <v>#REF!</v>
      </c>
      <c r="L17" s="21">
        <v>0.4</v>
      </c>
      <c r="M17" s="21">
        <v>-3.25</v>
      </c>
    </row>
    <row r="18" spans="2:13" x14ac:dyDescent="0.4">
      <c r="B18" s="29" t="s">
        <v>169</v>
      </c>
      <c r="C18" s="44">
        <v>0.99187000000000003</v>
      </c>
      <c r="D18" s="44">
        <v>0.99333000000000005</v>
      </c>
      <c r="E18" s="21">
        <v>-7.6499999999999995</v>
      </c>
      <c r="F18" s="21">
        <v>1.2</v>
      </c>
      <c r="I18" s="27" t="s">
        <v>14</v>
      </c>
      <c r="J18" s="44">
        <v>1.56291</v>
      </c>
      <c r="K18" s="44">
        <v>1.56569</v>
      </c>
      <c r="L18" s="21">
        <v>4</v>
      </c>
      <c r="M18" s="21">
        <v>-19.5</v>
      </c>
    </row>
    <row r="19" spans="2:13" x14ac:dyDescent="0.4">
      <c r="B19" s="11" t="s">
        <v>15</v>
      </c>
      <c r="C19" s="44">
        <v>1.64039</v>
      </c>
      <c r="D19" s="44">
        <v>1.6433800000000001</v>
      </c>
      <c r="E19" s="21">
        <v>2.9499999999999997</v>
      </c>
      <c r="F19" s="21">
        <v>-15.85</v>
      </c>
      <c r="I19" s="57" t="s">
        <v>27</v>
      </c>
      <c r="J19" s="44" t="e">
        <f>[1]!AUDNZD.102</f>
        <v>#REF!</v>
      </c>
      <c r="K19" s="44" t="e">
        <f>[1]!AUDNZD.101</f>
        <v>#REF!</v>
      </c>
      <c r="L19" s="21">
        <v>-2.25</v>
      </c>
      <c r="M19" s="21">
        <v>-1.05</v>
      </c>
    </row>
    <row r="20" spans="2:13" x14ac:dyDescent="0.4">
      <c r="B20" s="28" t="s">
        <v>20</v>
      </c>
      <c r="C20" s="44">
        <v>1.62869</v>
      </c>
      <c r="D20" s="44">
        <v>1.6210100000000001</v>
      </c>
      <c r="E20" s="21">
        <v>0.5</v>
      </c>
      <c r="F20" s="21">
        <v>-4.95</v>
      </c>
      <c r="I20" s="57" t="s">
        <v>28</v>
      </c>
      <c r="J20" s="44" t="e">
        <f>[1]!AUDJPY.102</f>
        <v>#REF!</v>
      </c>
      <c r="K20" s="67" t="e">
        <f>[1]!AUDJPY.101</f>
        <v>#REF!</v>
      </c>
      <c r="L20" s="21">
        <v>-10.25</v>
      </c>
      <c r="M20" s="21">
        <v>1.8499999999999999</v>
      </c>
    </row>
    <row r="21" spans="2:13" x14ac:dyDescent="0.4">
      <c r="B21" s="11" t="s">
        <v>17</v>
      </c>
      <c r="C21" s="44">
        <v>144.34700000000001</v>
      </c>
      <c r="D21" s="44">
        <v>144.535</v>
      </c>
      <c r="E21" s="21">
        <v>-4.05</v>
      </c>
      <c r="F21" s="21">
        <v>0.25</v>
      </c>
      <c r="I21" s="29" t="s">
        <v>19</v>
      </c>
      <c r="J21" s="44">
        <v>0.99187000000000003</v>
      </c>
      <c r="K21" s="44">
        <v>0.99333000000000005</v>
      </c>
      <c r="L21" s="21">
        <v>-7.6499999999999995</v>
      </c>
      <c r="M21" s="21">
        <v>1.2</v>
      </c>
    </row>
    <row r="22" spans="2:13" x14ac:dyDescent="0.4">
      <c r="B22" s="28" t="s">
        <v>16</v>
      </c>
      <c r="C22" s="44">
        <v>1.74095</v>
      </c>
      <c r="D22" s="44">
        <v>1.74519</v>
      </c>
      <c r="E22" s="21">
        <v>3.25</v>
      </c>
      <c r="F22" s="21">
        <v>-16.5</v>
      </c>
      <c r="I22" s="11" t="s">
        <v>15</v>
      </c>
      <c r="J22" s="44" t="e">
        <f>1/([1]!AUDGBP.102)</f>
        <v>#REF!</v>
      </c>
      <c r="K22" s="44" t="e">
        <f>1/([1]!AUDGBP.101)</f>
        <v>#REF!</v>
      </c>
      <c r="L22" s="21">
        <v>2.9499999999999997</v>
      </c>
      <c r="M22" s="21">
        <v>-15.85</v>
      </c>
    </row>
    <row r="23" spans="2:13" x14ac:dyDescent="0.4">
      <c r="B23" s="30" t="s">
        <v>170</v>
      </c>
      <c r="C23" s="19">
        <v>0.93420000000000003</v>
      </c>
      <c r="D23" s="44">
        <v>0.93577999999999995</v>
      </c>
      <c r="E23" s="21">
        <v>-7.35</v>
      </c>
      <c r="F23" s="21">
        <v>1.05</v>
      </c>
      <c r="I23" s="28" t="s">
        <v>20</v>
      </c>
      <c r="J23" s="44">
        <v>1.62869</v>
      </c>
      <c r="K23" s="44">
        <v>1.6210100000000001</v>
      </c>
      <c r="L23" s="21">
        <v>0.5</v>
      </c>
      <c r="M23" s="21">
        <v>-4.95</v>
      </c>
    </row>
    <row r="24" spans="2:13" x14ac:dyDescent="0.4">
      <c r="B24" s="12" t="s">
        <v>171</v>
      </c>
      <c r="C24" s="44">
        <v>82.790999999999997</v>
      </c>
      <c r="D24" s="44">
        <v>82.942999999999998</v>
      </c>
      <c r="E24" s="21">
        <v>-8.85</v>
      </c>
      <c r="F24" s="21">
        <v>1.7500000000000002</v>
      </c>
      <c r="I24" s="11" t="s">
        <v>17</v>
      </c>
      <c r="J24" s="44" t="e">
        <f>[1]!GBPJPY.102</f>
        <v>#REF!</v>
      </c>
      <c r="K24" s="44" t="e">
        <f>[1]!GBPJPY.101</f>
        <v>#REF!</v>
      </c>
      <c r="L24" s="21">
        <v>-4.05</v>
      </c>
      <c r="M24" s="21">
        <v>0.25</v>
      </c>
    </row>
    <row r="25" spans="2:13" x14ac:dyDescent="0.4">
      <c r="B25" s="68" t="s">
        <v>24</v>
      </c>
      <c r="C25" s="69">
        <v>88.326999999999998</v>
      </c>
      <c r="D25" s="69">
        <v>88.366</v>
      </c>
      <c r="E25" s="70">
        <v>-4.1500000000000004</v>
      </c>
      <c r="F25" s="70">
        <v>0.65</v>
      </c>
      <c r="I25" s="28" t="s">
        <v>16</v>
      </c>
      <c r="J25" s="44">
        <v>1.74095</v>
      </c>
      <c r="K25" s="44">
        <v>1.74519</v>
      </c>
      <c r="L25" s="21">
        <v>3.25</v>
      </c>
      <c r="M25" s="21">
        <v>-16.5</v>
      </c>
    </row>
    <row r="26" spans="2:13" x14ac:dyDescent="0.4">
      <c r="I26" s="30" t="s">
        <v>21</v>
      </c>
      <c r="J26" s="19">
        <v>0.93420000000000003</v>
      </c>
      <c r="K26" s="44">
        <v>0.93577999999999995</v>
      </c>
      <c r="L26" s="21">
        <v>-7.35</v>
      </c>
      <c r="M26" s="21">
        <v>1.05</v>
      </c>
    </row>
    <row r="27" spans="2:13" x14ac:dyDescent="0.4">
      <c r="I27" s="12" t="s">
        <v>22</v>
      </c>
      <c r="J27" s="44" t="e">
        <f>[1]!NZDJPY.102</f>
        <v>#REF!</v>
      </c>
      <c r="K27" s="44" t="e">
        <f>[1]!NZDJPY.101</f>
        <v>#REF!</v>
      </c>
      <c r="L27" s="21">
        <v>-8.85</v>
      </c>
      <c r="M27" s="21">
        <v>1.7500000000000002</v>
      </c>
    </row>
    <row r="28" spans="2:13" ht="17.5" thickBot="1" x14ac:dyDescent="0.45">
      <c r="I28" s="87" t="s">
        <v>24</v>
      </c>
      <c r="J28" s="88">
        <v>88.326999999999998</v>
      </c>
      <c r="K28" s="88">
        <v>88.366</v>
      </c>
      <c r="L28" s="89">
        <v>-4.1500000000000004</v>
      </c>
      <c r="M28" s="89">
        <v>0.65</v>
      </c>
    </row>
    <row r="29" spans="2:13" x14ac:dyDescent="0.4">
      <c r="I29" s="90"/>
      <c r="J29" s="7"/>
      <c r="K29" s="7"/>
      <c r="L29" s="86"/>
      <c r="M29" s="86"/>
    </row>
    <row r="30" spans="2:13" x14ac:dyDescent="0.4">
      <c r="I30" s="90"/>
      <c r="J30" s="7"/>
      <c r="K30" s="7"/>
      <c r="L30" s="86"/>
      <c r="M30" s="86"/>
    </row>
    <row r="31" spans="2:13" ht="17.5" thickBot="1" x14ac:dyDescent="0.45">
      <c r="I31" s="90"/>
      <c r="J31" s="84" t="s">
        <v>301</v>
      </c>
      <c r="K31" s="84" t="s">
        <v>300</v>
      </c>
      <c r="L31" s="86"/>
      <c r="M31" s="86"/>
    </row>
    <row r="32" spans="2:13" ht="17.5" thickBot="1" x14ac:dyDescent="0.45">
      <c r="I32" s="58" t="s">
        <v>287</v>
      </c>
      <c r="J32" s="56">
        <v>30.28</v>
      </c>
      <c r="K32" s="56">
        <v>30.38</v>
      </c>
      <c r="L32" s="45"/>
      <c r="M32" s="45"/>
    </row>
  </sheetData>
  <mergeCells count="2">
    <mergeCell ref="J5:K5"/>
    <mergeCell ref="L5:M5"/>
  </mergeCells>
  <phoneticPr fontId="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C0DEE8-F6C9-422D-9671-EF73F6EABCF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說明</vt:lpstr>
      <vt:lpstr>操作流程圖</vt:lpstr>
      <vt:lpstr>試算 </vt:lpstr>
      <vt:lpstr>避險計算 </vt:lpstr>
      <vt:lpstr>經濟日曆 </vt:lpstr>
      <vt:lpstr>Bloomberg經濟日曆</vt:lpstr>
      <vt:lpstr>數據資料(不能刪)</vt:lpstr>
      <vt:lpstr>備份數據(不能刪)</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2017-07-18T12:31:03Z</dcterms:created>
  <dcterms:modified xsi:type="dcterms:W3CDTF">2017-08-30T08:22:21Z</dcterms:modified>
</cp:coreProperties>
</file>